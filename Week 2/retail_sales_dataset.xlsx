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Week 2\"/>
    </mc:Choice>
  </mc:AlternateContent>
  <bookViews>
    <workbookView xWindow="0" yWindow="0" windowWidth="20490" windowHeight="7500" firstSheet="4" activeTab="4"/>
  </bookViews>
  <sheets>
    <sheet name="Part 01_Understand_Dataset" sheetId="2" r:id="rId1"/>
    <sheet name="Part 03_Data Quality Check" sheetId="5" r:id="rId2"/>
    <sheet name="Part 02_Cleaned Data" sheetId="4" r:id="rId3"/>
    <sheet name="KPIs" sheetId="15" r:id="rId4"/>
    <sheet name="Pivot Tables" sheetId="11" r:id="rId5"/>
    <sheet name="Part 04_Basic Analysis" sheetId="6" r:id="rId6"/>
    <sheet name="Charts" sheetId="8" r:id="rId7"/>
    <sheet name="Part 05_Sorting and filter ss " sheetId="7" r:id="rId8"/>
    <sheet name="Observations" sheetId="10" r:id="rId9"/>
    <sheet name="Excel Insights" sheetId="16" r:id="rId10"/>
  </sheets>
  <definedNames>
    <definedName name="_xlnm._FilterDatabase" localSheetId="2" hidden="1">'Part 02_Cleaned Data'!$F$1:$F$1001</definedName>
    <definedName name="_xlcn.WorksheetConnection_Week1.xlsxTable2" hidden="1">Table2[]</definedName>
  </definedNames>
  <calcPr calcId="162913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Week 1.xlsx!Table2"/>
        </x15:modelTables>
      </x15:dataModel>
    </ext>
  </extLst>
</workbook>
</file>

<file path=xl/calcChain.xml><?xml version="1.0" encoding="utf-8"?>
<calcChain xmlns="http://schemas.openxmlformats.org/spreadsheetml/2006/main">
  <c r="E12" i="15" l="1"/>
  <c r="E11" i="15"/>
  <c r="E10" i="15"/>
  <c r="E7" i="15"/>
  <c r="E9" i="15"/>
  <c r="E8" i="15"/>
  <c r="C18" i="8" l="1"/>
  <c r="C17" i="8"/>
  <c r="C12" i="8"/>
  <c r="C11" i="8"/>
  <c r="C10" i="8"/>
  <c r="C5" i="8"/>
  <c r="C4" i="8"/>
  <c r="C3" i="8"/>
  <c r="N19" i="6"/>
  <c r="N18" i="6"/>
  <c r="N12" i="6"/>
  <c r="N13" i="6"/>
  <c r="N11" i="6"/>
  <c r="N6" i="6"/>
  <c r="N5" i="6"/>
  <c r="N4" i="6"/>
  <c r="F9" i="6"/>
  <c r="F6" i="6"/>
  <c r="F3" i="6"/>
  <c r="B18" i="6"/>
  <c r="B15" i="6"/>
  <c r="B12" i="6"/>
  <c r="B9" i="6"/>
  <c r="B6" i="6"/>
  <c r="B3" i="6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1" i="4"/>
  <c r="K501" i="4" s="1"/>
  <c r="J502" i="4"/>
  <c r="K502" i="4" s="1"/>
  <c r="J503" i="4"/>
  <c r="K503" i="4" s="1"/>
  <c r="J504" i="4"/>
  <c r="K504" i="4" s="1"/>
  <c r="J505" i="4"/>
  <c r="K505" i="4" s="1"/>
  <c r="J506" i="4"/>
  <c r="K506" i="4" s="1"/>
  <c r="J507" i="4"/>
  <c r="K507" i="4" s="1"/>
  <c r="J508" i="4"/>
  <c r="K508" i="4" s="1"/>
  <c r="J509" i="4"/>
  <c r="K509" i="4" s="1"/>
  <c r="J510" i="4"/>
  <c r="K510" i="4" s="1"/>
  <c r="J511" i="4"/>
  <c r="K511" i="4" s="1"/>
  <c r="J512" i="4"/>
  <c r="K512" i="4" s="1"/>
  <c r="J513" i="4"/>
  <c r="K513" i="4" s="1"/>
  <c r="J514" i="4"/>
  <c r="K514" i="4" s="1"/>
  <c r="J515" i="4"/>
  <c r="K515" i="4" s="1"/>
  <c r="J516" i="4"/>
  <c r="K516" i="4" s="1"/>
  <c r="J517" i="4"/>
  <c r="K517" i="4" s="1"/>
  <c r="J518" i="4"/>
  <c r="K518" i="4" s="1"/>
  <c r="J519" i="4"/>
  <c r="K519" i="4" s="1"/>
  <c r="J520" i="4"/>
  <c r="K520" i="4" s="1"/>
  <c r="J521" i="4"/>
  <c r="K521" i="4" s="1"/>
  <c r="J522" i="4"/>
  <c r="K522" i="4" s="1"/>
  <c r="J523" i="4"/>
  <c r="K523" i="4" s="1"/>
  <c r="J524" i="4"/>
  <c r="K524" i="4" s="1"/>
  <c r="J525" i="4"/>
  <c r="K525" i="4" s="1"/>
  <c r="J526" i="4"/>
  <c r="K526" i="4" s="1"/>
  <c r="J527" i="4"/>
  <c r="K527" i="4" s="1"/>
  <c r="J528" i="4"/>
  <c r="K528" i="4" s="1"/>
  <c r="J529" i="4"/>
  <c r="K529" i="4" s="1"/>
  <c r="J530" i="4"/>
  <c r="K530" i="4" s="1"/>
  <c r="J531" i="4"/>
  <c r="K531" i="4" s="1"/>
  <c r="J532" i="4"/>
  <c r="K532" i="4" s="1"/>
  <c r="J533" i="4"/>
  <c r="K533" i="4" s="1"/>
  <c r="J534" i="4"/>
  <c r="K534" i="4" s="1"/>
  <c r="J535" i="4"/>
  <c r="K535" i="4" s="1"/>
  <c r="J536" i="4"/>
  <c r="K536" i="4" s="1"/>
  <c r="J537" i="4"/>
  <c r="K537" i="4" s="1"/>
  <c r="J538" i="4"/>
  <c r="K538" i="4" s="1"/>
  <c r="J539" i="4"/>
  <c r="K539" i="4" s="1"/>
  <c r="J540" i="4"/>
  <c r="K540" i="4" s="1"/>
  <c r="J541" i="4"/>
  <c r="K541" i="4" s="1"/>
  <c r="J542" i="4"/>
  <c r="K542" i="4" s="1"/>
  <c r="J543" i="4"/>
  <c r="K543" i="4" s="1"/>
  <c r="J544" i="4"/>
  <c r="K544" i="4" s="1"/>
  <c r="J545" i="4"/>
  <c r="K545" i="4" s="1"/>
  <c r="J546" i="4"/>
  <c r="K546" i="4" s="1"/>
  <c r="J547" i="4"/>
  <c r="K547" i="4" s="1"/>
  <c r="J548" i="4"/>
  <c r="K548" i="4" s="1"/>
  <c r="J549" i="4"/>
  <c r="K549" i="4" s="1"/>
  <c r="J550" i="4"/>
  <c r="K550" i="4" s="1"/>
  <c r="J551" i="4"/>
  <c r="K551" i="4" s="1"/>
  <c r="J552" i="4"/>
  <c r="K552" i="4" s="1"/>
  <c r="J553" i="4"/>
  <c r="K553" i="4" s="1"/>
  <c r="J554" i="4"/>
  <c r="K554" i="4" s="1"/>
  <c r="J555" i="4"/>
  <c r="K555" i="4" s="1"/>
  <c r="J556" i="4"/>
  <c r="K556" i="4" s="1"/>
  <c r="J557" i="4"/>
  <c r="K557" i="4" s="1"/>
  <c r="J558" i="4"/>
  <c r="K558" i="4" s="1"/>
  <c r="J559" i="4"/>
  <c r="K559" i="4" s="1"/>
  <c r="J560" i="4"/>
  <c r="K560" i="4" s="1"/>
  <c r="J561" i="4"/>
  <c r="K561" i="4" s="1"/>
  <c r="J562" i="4"/>
  <c r="K562" i="4" s="1"/>
  <c r="J563" i="4"/>
  <c r="K563" i="4" s="1"/>
  <c r="J564" i="4"/>
  <c r="K564" i="4" s="1"/>
  <c r="J565" i="4"/>
  <c r="K565" i="4" s="1"/>
  <c r="J566" i="4"/>
  <c r="K566" i="4" s="1"/>
  <c r="J567" i="4"/>
  <c r="K567" i="4" s="1"/>
  <c r="J568" i="4"/>
  <c r="K568" i="4" s="1"/>
  <c r="J569" i="4"/>
  <c r="K569" i="4" s="1"/>
  <c r="J570" i="4"/>
  <c r="K570" i="4" s="1"/>
  <c r="J571" i="4"/>
  <c r="K571" i="4" s="1"/>
  <c r="J572" i="4"/>
  <c r="K572" i="4" s="1"/>
  <c r="J573" i="4"/>
  <c r="K573" i="4" s="1"/>
  <c r="J574" i="4"/>
  <c r="K574" i="4" s="1"/>
  <c r="J575" i="4"/>
  <c r="K575" i="4" s="1"/>
  <c r="J576" i="4"/>
  <c r="K576" i="4" s="1"/>
  <c r="J577" i="4"/>
  <c r="K577" i="4" s="1"/>
  <c r="J578" i="4"/>
  <c r="K578" i="4" s="1"/>
  <c r="J579" i="4"/>
  <c r="K579" i="4" s="1"/>
  <c r="J580" i="4"/>
  <c r="K580" i="4" s="1"/>
  <c r="J581" i="4"/>
  <c r="K581" i="4" s="1"/>
  <c r="J582" i="4"/>
  <c r="K582" i="4" s="1"/>
  <c r="J583" i="4"/>
  <c r="K583" i="4" s="1"/>
  <c r="J584" i="4"/>
  <c r="K584" i="4" s="1"/>
  <c r="J585" i="4"/>
  <c r="K585" i="4" s="1"/>
  <c r="J586" i="4"/>
  <c r="K586" i="4" s="1"/>
  <c r="J587" i="4"/>
  <c r="K587" i="4" s="1"/>
  <c r="J588" i="4"/>
  <c r="K588" i="4" s="1"/>
  <c r="J589" i="4"/>
  <c r="K589" i="4" s="1"/>
  <c r="J590" i="4"/>
  <c r="K590" i="4" s="1"/>
  <c r="J591" i="4"/>
  <c r="K591" i="4" s="1"/>
  <c r="J592" i="4"/>
  <c r="K592" i="4" s="1"/>
  <c r="J593" i="4"/>
  <c r="K593" i="4" s="1"/>
  <c r="J594" i="4"/>
  <c r="K594" i="4" s="1"/>
  <c r="J595" i="4"/>
  <c r="K595" i="4" s="1"/>
  <c r="J596" i="4"/>
  <c r="K596" i="4" s="1"/>
  <c r="J597" i="4"/>
  <c r="K597" i="4" s="1"/>
  <c r="J598" i="4"/>
  <c r="K598" i="4" s="1"/>
  <c r="J599" i="4"/>
  <c r="K599" i="4" s="1"/>
  <c r="J600" i="4"/>
  <c r="K600" i="4" s="1"/>
  <c r="J601" i="4"/>
  <c r="K601" i="4" s="1"/>
  <c r="J602" i="4"/>
  <c r="K602" i="4" s="1"/>
  <c r="J603" i="4"/>
  <c r="K603" i="4" s="1"/>
  <c r="J604" i="4"/>
  <c r="K604" i="4" s="1"/>
  <c r="J605" i="4"/>
  <c r="K605" i="4" s="1"/>
  <c r="J606" i="4"/>
  <c r="K606" i="4" s="1"/>
  <c r="J607" i="4"/>
  <c r="K607" i="4" s="1"/>
  <c r="J608" i="4"/>
  <c r="K608" i="4" s="1"/>
  <c r="J609" i="4"/>
  <c r="K609" i="4" s="1"/>
  <c r="J610" i="4"/>
  <c r="K610" i="4" s="1"/>
  <c r="J611" i="4"/>
  <c r="K611" i="4" s="1"/>
  <c r="J612" i="4"/>
  <c r="K612" i="4" s="1"/>
  <c r="J613" i="4"/>
  <c r="K613" i="4" s="1"/>
  <c r="J614" i="4"/>
  <c r="K614" i="4" s="1"/>
  <c r="J615" i="4"/>
  <c r="K615" i="4" s="1"/>
  <c r="J616" i="4"/>
  <c r="K616" i="4" s="1"/>
  <c r="J617" i="4"/>
  <c r="K617" i="4" s="1"/>
  <c r="J618" i="4"/>
  <c r="K618" i="4" s="1"/>
  <c r="J619" i="4"/>
  <c r="K619" i="4" s="1"/>
  <c r="J620" i="4"/>
  <c r="K620" i="4" s="1"/>
  <c r="J621" i="4"/>
  <c r="K621" i="4" s="1"/>
  <c r="J622" i="4"/>
  <c r="K622" i="4" s="1"/>
  <c r="J623" i="4"/>
  <c r="K623" i="4" s="1"/>
  <c r="J624" i="4"/>
  <c r="K624" i="4" s="1"/>
  <c r="J625" i="4"/>
  <c r="K625" i="4" s="1"/>
  <c r="J626" i="4"/>
  <c r="K626" i="4" s="1"/>
  <c r="J627" i="4"/>
  <c r="K627" i="4" s="1"/>
  <c r="J628" i="4"/>
  <c r="K628" i="4" s="1"/>
  <c r="J629" i="4"/>
  <c r="K629" i="4" s="1"/>
  <c r="J630" i="4"/>
  <c r="K630" i="4" s="1"/>
  <c r="J631" i="4"/>
  <c r="K631" i="4" s="1"/>
  <c r="J632" i="4"/>
  <c r="K632" i="4" s="1"/>
  <c r="J633" i="4"/>
  <c r="K633" i="4" s="1"/>
  <c r="J634" i="4"/>
  <c r="K634" i="4" s="1"/>
  <c r="J635" i="4"/>
  <c r="K635" i="4" s="1"/>
  <c r="J636" i="4"/>
  <c r="K636" i="4" s="1"/>
  <c r="J637" i="4"/>
  <c r="K637" i="4" s="1"/>
  <c r="J638" i="4"/>
  <c r="K638" i="4" s="1"/>
  <c r="J639" i="4"/>
  <c r="K639" i="4" s="1"/>
  <c r="J640" i="4"/>
  <c r="K640" i="4" s="1"/>
  <c r="J641" i="4"/>
  <c r="K641" i="4" s="1"/>
  <c r="J642" i="4"/>
  <c r="K642" i="4" s="1"/>
  <c r="J643" i="4"/>
  <c r="K643" i="4" s="1"/>
  <c r="J644" i="4"/>
  <c r="K644" i="4" s="1"/>
  <c r="J645" i="4"/>
  <c r="K645" i="4" s="1"/>
  <c r="J646" i="4"/>
  <c r="K646" i="4" s="1"/>
  <c r="J647" i="4"/>
  <c r="K647" i="4" s="1"/>
  <c r="J648" i="4"/>
  <c r="K648" i="4" s="1"/>
  <c r="J649" i="4"/>
  <c r="K649" i="4" s="1"/>
  <c r="J650" i="4"/>
  <c r="K650" i="4" s="1"/>
  <c r="J651" i="4"/>
  <c r="K651" i="4" s="1"/>
  <c r="J652" i="4"/>
  <c r="K652" i="4" s="1"/>
  <c r="J653" i="4"/>
  <c r="K653" i="4" s="1"/>
  <c r="J654" i="4"/>
  <c r="K654" i="4" s="1"/>
  <c r="J655" i="4"/>
  <c r="K655" i="4" s="1"/>
  <c r="J656" i="4"/>
  <c r="K656" i="4" s="1"/>
  <c r="J657" i="4"/>
  <c r="K657" i="4" s="1"/>
  <c r="J658" i="4"/>
  <c r="K658" i="4" s="1"/>
  <c r="J659" i="4"/>
  <c r="K659" i="4" s="1"/>
  <c r="J660" i="4"/>
  <c r="K660" i="4" s="1"/>
  <c r="J661" i="4"/>
  <c r="K661" i="4" s="1"/>
  <c r="J662" i="4"/>
  <c r="K662" i="4" s="1"/>
  <c r="J663" i="4"/>
  <c r="K663" i="4" s="1"/>
  <c r="J664" i="4"/>
  <c r="K664" i="4" s="1"/>
  <c r="J665" i="4"/>
  <c r="K665" i="4" s="1"/>
  <c r="J666" i="4"/>
  <c r="K666" i="4" s="1"/>
  <c r="J667" i="4"/>
  <c r="K667" i="4" s="1"/>
  <c r="J668" i="4"/>
  <c r="K668" i="4" s="1"/>
  <c r="J669" i="4"/>
  <c r="K669" i="4" s="1"/>
  <c r="J670" i="4"/>
  <c r="K670" i="4" s="1"/>
  <c r="J671" i="4"/>
  <c r="K671" i="4" s="1"/>
  <c r="J672" i="4"/>
  <c r="K672" i="4" s="1"/>
  <c r="J673" i="4"/>
  <c r="K673" i="4" s="1"/>
  <c r="J674" i="4"/>
  <c r="K674" i="4" s="1"/>
  <c r="J675" i="4"/>
  <c r="K675" i="4" s="1"/>
  <c r="J676" i="4"/>
  <c r="K676" i="4" s="1"/>
  <c r="J677" i="4"/>
  <c r="K677" i="4" s="1"/>
  <c r="J678" i="4"/>
  <c r="K678" i="4" s="1"/>
  <c r="J679" i="4"/>
  <c r="K679" i="4" s="1"/>
  <c r="J680" i="4"/>
  <c r="K680" i="4" s="1"/>
  <c r="J681" i="4"/>
  <c r="K681" i="4" s="1"/>
  <c r="J682" i="4"/>
  <c r="K682" i="4" s="1"/>
  <c r="J683" i="4"/>
  <c r="K683" i="4" s="1"/>
  <c r="J684" i="4"/>
  <c r="K684" i="4" s="1"/>
  <c r="J685" i="4"/>
  <c r="K685" i="4" s="1"/>
  <c r="J686" i="4"/>
  <c r="K686" i="4" s="1"/>
  <c r="J687" i="4"/>
  <c r="K687" i="4" s="1"/>
  <c r="J688" i="4"/>
  <c r="K688" i="4" s="1"/>
  <c r="J689" i="4"/>
  <c r="K689" i="4" s="1"/>
  <c r="J690" i="4"/>
  <c r="K690" i="4" s="1"/>
  <c r="J691" i="4"/>
  <c r="K691" i="4" s="1"/>
  <c r="J692" i="4"/>
  <c r="K692" i="4" s="1"/>
  <c r="J693" i="4"/>
  <c r="K693" i="4" s="1"/>
  <c r="J694" i="4"/>
  <c r="K694" i="4" s="1"/>
  <c r="J695" i="4"/>
  <c r="K695" i="4" s="1"/>
  <c r="J696" i="4"/>
  <c r="K696" i="4" s="1"/>
  <c r="J697" i="4"/>
  <c r="K697" i="4" s="1"/>
  <c r="J698" i="4"/>
  <c r="K698" i="4" s="1"/>
  <c r="J699" i="4"/>
  <c r="K699" i="4" s="1"/>
  <c r="J700" i="4"/>
  <c r="K700" i="4" s="1"/>
  <c r="J701" i="4"/>
  <c r="K701" i="4" s="1"/>
  <c r="J702" i="4"/>
  <c r="K702" i="4" s="1"/>
  <c r="J703" i="4"/>
  <c r="K703" i="4" s="1"/>
  <c r="J704" i="4"/>
  <c r="K704" i="4" s="1"/>
  <c r="J705" i="4"/>
  <c r="K705" i="4" s="1"/>
  <c r="J706" i="4"/>
  <c r="K706" i="4" s="1"/>
  <c r="J707" i="4"/>
  <c r="K707" i="4" s="1"/>
  <c r="J708" i="4"/>
  <c r="K708" i="4" s="1"/>
  <c r="J709" i="4"/>
  <c r="K709" i="4" s="1"/>
  <c r="J710" i="4"/>
  <c r="K710" i="4" s="1"/>
  <c r="J711" i="4"/>
  <c r="K711" i="4" s="1"/>
  <c r="J712" i="4"/>
  <c r="K712" i="4" s="1"/>
  <c r="J713" i="4"/>
  <c r="K713" i="4" s="1"/>
  <c r="J714" i="4"/>
  <c r="K714" i="4" s="1"/>
  <c r="J715" i="4"/>
  <c r="K715" i="4" s="1"/>
  <c r="J716" i="4"/>
  <c r="K716" i="4" s="1"/>
  <c r="J717" i="4"/>
  <c r="K717" i="4" s="1"/>
  <c r="J718" i="4"/>
  <c r="K718" i="4" s="1"/>
  <c r="J719" i="4"/>
  <c r="K719" i="4" s="1"/>
  <c r="J720" i="4"/>
  <c r="K720" i="4" s="1"/>
  <c r="J721" i="4"/>
  <c r="K721" i="4" s="1"/>
  <c r="J722" i="4"/>
  <c r="K722" i="4" s="1"/>
  <c r="J723" i="4"/>
  <c r="K723" i="4" s="1"/>
  <c r="J724" i="4"/>
  <c r="K724" i="4" s="1"/>
  <c r="J725" i="4"/>
  <c r="K725" i="4" s="1"/>
  <c r="J726" i="4"/>
  <c r="K726" i="4" s="1"/>
  <c r="J727" i="4"/>
  <c r="K727" i="4" s="1"/>
  <c r="J728" i="4"/>
  <c r="K728" i="4" s="1"/>
  <c r="J729" i="4"/>
  <c r="K729" i="4" s="1"/>
  <c r="J730" i="4"/>
  <c r="K730" i="4" s="1"/>
  <c r="J731" i="4"/>
  <c r="K731" i="4" s="1"/>
  <c r="J732" i="4"/>
  <c r="K732" i="4" s="1"/>
  <c r="J733" i="4"/>
  <c r="K733" i="4" s="1"/>
  <c r="J734" i="4"/>
  <c r="K734" i="4" s="1"/>
  <c r="J735" i="4"/>
  <c r="K735" i="4" s="1"/>
  <c r="J736" i="4"/>
  <c r="K736" i="4" s="1"/>
  <c r="J737" i="4"/>
  <c r="K737" i="4" s="1"/>
  <c r="J738" i="4"/>
  <c r="K738" i="4" s="1"/>
  <c r="J739" i="4"/>
  <c r="K739" i="4" s="1"/>
  <c r="J740" i="4"/>
  <c r="K740" i="4" s="1"/>
  <c r="J741" i="4"/>
  <c r="K741" i="4" s="1"/>
  <c r="J742" i="4"/>
  <c r="K742" i="4" s="1"/>
  <c r="J743" i="4"/>
  <c r="K743" i="4" s="1"/>
  <c r="J744" i="4"/>
  <c r="K744" i="4" s="1"/>
  <c r="J745" i="4"/>
  <c r="K745" i="4" s="1"/>
  <c r="J746" i="4"/>
  <c r="K746" i="4" s="1"/>
  <c r="J747" i="4"/>
  <c r="K747" i="4" s="1"/>
  <c r="J748" i="4"/>
  <c r="K748" i="4" s="1"/>
  <c r="J749" i="4"/>
  <c r="K749" i="4" s="1"/>
  <c r="J750" i="4"/>
  <c r="K750" i="4" s="1"/>
  <c r="J751" i="4"/>
  <c r="K751" i="4" s="1"/>
  <c r="J752" i="4"/>
  <c r="K752" i="4" s="1"/>
  <c r="J753" i="4"/>
  <c r="K753" i="4" s="1"/>
  <c r="J754" i="4"/>
  <c r="K754" i="4" s="1"/>
  <c r="J755" i="4"/>
  <c r="K755" i="4" s="1"/>
  <c r="J756" i="4"/>
  <c r="K756" i="4" s="1"/>
  <c r="J757" i="4"/>
  <c r="K757" i="4" s="1"/>
  <c r="J758" i="4"/>
  <c r="K758" i="4" s="1"/>
  <c r="J759" i="4"/>
  <c r="K759" i="4" s="1"/>
  <c r="J760" i="4"/>
  <c r="K760" i="4" s="1"/>
  <c r="J761" i="4"/>
  <c r="K761" i="4" s="1"/>
  <c r="J762" i="4"/>
  <c r="K762" i="4" s="1"/>
  <c r="J763" i="4"/>
  <c r="K763" i="4" s="1"/>
  <c r="J764" i="4"/>
  <c r="K764" i="4" s="1"/>
  <c r="J765" i="4"/>
  <c r="K765" i="4" s="1"/>
  <c r="J766" i="4"/>
  <c r="K766" i="4" s="1"/>
  <c r="J767" i="4"/>
  <c r="K767" i="4" s="1"/>
  <c r="J768" i="4"/>
  <c r="K768" i="4" s="1"/>
  <c r="J769" i="4"/>
  <c r="K769" i="4" s="1"/>
  <c r="J770" i="4"/>
  <c r="K770" i="4" s="1"/>
  <c r="J771" i="4"/>
  <c r="K771" i="4" s="1"/>
  <c r="J772" i="4"/>
  <c r="K772" i="4" s="1"/>
  <c r="J773" i="4"/>
  <c r="K773" i="4" s="1"/>
  <c r="J774" i="4"/>
  <c r="K774" i="4" s="1"/>
  <c r="J775" i="4"/>
  <c r="K775" i="4" s="1"/>
  <c r="J776" i="4"/>
  <c r="K776" i="4" s="1"/>
  <c r="J777" i="4"/>
  <c r="K777" i="4" s="1"/>
  <c r="J778" i="4"/>
  <c r="K778" i="4" s="1"/>
  <c r="J779" i="4"/>
  <c r="K779" i="4" s="1"/>
  <c r="J780" i="4"/>
  <c r="K780" i="4" s="1"/>
  <c r="J781" i="4"/>
  <c r="K781" i="4" s="1"/>
  <c r="J782" i="4"/>
  <c r="K782" i="4" s="1"/>
  <c r="J783" i="4"/>
  <c r="K783" i="4" s="1"/>
  <c r="J784" i="4"/>
  <c r="K784" i="4" s="1"/>
  <c r="J785" i="4"/>
  <c r="K785" i="4" s="1"/>
  <c r="J786" i="4"/>
  <c r="K786" i="4" s="1"/>
  <c r="J787" i="4"/>
  <c r="K787" i="4" s="1"/>
  <c r="J788" i="4"/>
  <c r="K788" i="4" s="1"/>
  <c r="J789" i="4"/>
  <c r="K789" i="4" s="1"/>
  <c r="J790" i="4"/>
  <c r="K790" i="4" s="1"/>
  <c r="J791" i="4"/>
  <c r="K791" i="4" s="1"/>
  <c r="J792" i="4"/>
  <c r="K792" i="4" s="1"/>
  <c r="J793" i="4"/>
  <c r="K793" i="4" s="1"/>
  <c r="J794" i="4"/>
  <c r="K794" i="4" s="1"/>
  <c r="J795" i="4"/>
  <c r="K795" i="4" s="1"/>
  <c r="J796" i="4"/>
  <c r="K796" i="4" s="1"/>
  <c r="J797" i="4"/>
  <c r="K797" i="4" s="1"/>
  <c r="J798" i="4"/>
  <c r="K798" i="4" s="1"/>
  <c r="J799" i="4"/>
  <c r="K799" i="4" s="1"/>
  <c r="J800" i="4"/>
  <c r="K800" i="4" s="1"/>
  <c r="J801" i="4"/>
  <c r="K801" i="4" s="1"/>
  <c r="J802" i="4"/>
  <c r="K802" i="4" s="1"/>
  <c r="J803" i="4"/>
  <c r="K803" i="4" s="1"/>
  <c r="J804" i="4"/>
  <c r="K804" i="4" s="1"/>
  <c r="J805" i="4"/>
  <c r="K805" i="4" s="1"/>
  <c r="J806" i="4"/>
  <c r="K806" i="4" s="1"/>
  <c r="J807" i="4"/>
  <c r="K807" i="4" s="1"/>
  <c r="J808" i="4"/>
  <c r="K808" i="4" s="1"/>
  <c r="J809" i="4"/>
  <c r="K809" i="4" s="1"/>
  <c r="J810" i="4"/>
  <c r="K810" i="4" s="1"/>
  <c r="J811" i="4"/>
  <c r="K811" i="4" s="1"/>
  <c r="J812" i="4"/>
  <c r="K812" i="4" s="1"/>
  <c r="J813" i="4"/>
  <c r="K813" i="4" s="1"/>
  <c r="J814" i="4"/>
  <c r="K814" i="4" s="1"/>
  <c r="J815" i="4"/>
  <c r="K815" i="4" s="1"/>
  <c r="J816" i="4"/>
  <c r="K816" i="4" s="1"/>
  <c r="J817" i="4"/>
  <c r="K817" i="4" s="1"/>
  <c r="J818" i="4"/>
  <c r="K818" i="4" s="1"/>
  <c r="J819" i="4"/>
  <c r="K819" i="4" s="1"/>
  <c r="J820" i="4"/>
  <c r="K820" i="4" s="1"/>
  <c r="J821" i="4"/>
  <c r="K821" i="4" s="1"/>
  <c r="J822" i="4"/>
  <c r="K822" i="4" s="1"/>
  <c r="J823" i="4"/>
  <c r="K823" i="4" s="1"/>
  <c r="J824" i="4"/>
  <c r="K824" i="4" s="1"/>
  <c r="J825" i="4"/>
  <c r="K825" i="4" s="1"/>
  <c r="J826" i="4"/>
  <c r="K826" i="4" s="1"/>
  <c r="J827" i="4"/>
  <c r="K827" i="4" s="1"/>
  <c r="J828" i="4"/>
  <c r="K828" i="4" s="1"/>
  <c r="J829" i="4"/>
  <c r="K829" i="4" s="1"/>
  <c r="J830" i="4"/>
  <c r="K830" i="4" s="1"/>
  <c r="J831" i="4"/>
  <c r="K831" i="4" s="1"/>
  <c r="J832" i="4"/>
  <c r="K832" i="4" s="1"/>
  <c r="J833" i="4"/>
  <c r="K833" i="4" s="1"/>
  <c r="J834" i="4"/>
  <c r="K834" i="4" s="1"/>
  <c r="J835" i="4"/>
  <c r="K835" i="4" s="1"/>
  <c r="J836" i="4"/>
  <c r="K836" i="4" s="1"/>
  <c r="J837" i="4"/>
  <c r="K837" i="4" s="1"/>
  <c r="J838" i="4"/>
  <c r="K838" i="4" s="1"/>
  <c r="J839" i="4"/>
  <c r="K839" i="4" s="1"/>
  <c r="J840" i="4"/>
  <c r="K840" i="4" s="1"/>
  <c r="J841" i="4"/>
  <c r="K841" i="4" s="1"/>
  <c r="J842" i="4"/>
  <c r="K842" i="4" s="1"/>
  <c r="J843" i="4"/>
  <c r="K843" i="4" s="1"/>
  <c r="J844" i="4"/>
  <c r="K844" i="4" s="1"/>
  <c r="J845" i="4"/>
  <c r="K845" i="4" s="1"/>
  <c r="J846" i="4"/>
  <c r="K846" i="4" s="1"/>
  <c r="J847" i="4"/>
  <c r="K847" i="4" s="1"/>
  <c r="J848" i="4"/>
  <c r="K848" i="4" s="1"/>
  <c r="J849" i="4"/>
  <c r="K849" i="4" s="1"/>
  <c r="J850" i="4"/>
  <c r="K850" i="4" s="1"/>
  <c r="J851" i="4"/>
  <c r="K851" i="4" s="1"/>
  <c r="J852" i="4"/>
  <c r="K852" i="4" s="1"/>
  <c r="J853" i="4"/>
  <c r="K853" i="4" s="1"/>
  <c r="J854" i="4"/>
  <c r="K854" i="4" s="1"/>
  <c r="J855" i="4"/>
  <c r="K855" i="4" s="1"/>
  <c r="J856" i="4"/>
  <c r="K856" i="4" s="1"/>
  <c r="J857" i="4"/>
  <c r="K857" i="4" s="1"/>
  <c r="J858" i="4"/>
  <c r="K858" i="4" s="1"/>
  <c r="J859" i="4"/>
  <c r="K859" i="4" s="1"/>
  <c r="J860" i="4"/>
  <c r="K860" i="4" s="1"/>
  <c r="J861" i="4"/>
  <c r="K861" i="4" s="1"/>
  <c r="J862" i="4"/>
  <c r="K862" i="4" s="1"/>
  <c r="J863" i="4"/>
  <c r="K863" i="4" s="1"/>
  <c r="J864" i="4"/>
  <c r="K864" i="4" s="1"/>
  <c r="J865" i="4"/>
  <c r="K865" i="4" s="1"/>
  <c r="J866" i="4"/>
  <c r="K866" i="4" s="1"/>
  <c r="J867" i="4"/>
  <c r="K867" i="4" s="1"/>
  <c r="J868" i="4"/>
  <c r="K868" i="4" s="1"/>
  <c r="J869" i="4"/>
  <c r="K869" i="4" s="1"/>
  <c r="J870" i="4"/>
  <c r="K870" i="4" s="1"/>
  <c r="J871" i="4"/>
  <c r="K871" i="4" s="1"/>
  <c r="J872" i="4"/>
  <c r="K872" i="4" s="1"/>
  <c r="J873" i="4"/>
  <c r="K873" i="4" s="1"/>
  <c r="J874" i="4"/>
  <c r="K874" i="4" s="1"/>
  <c r="J875" i="4"/>
  <c r="K875" i="4" s="1"/>
  <c r="J876" i="4"/>
  <c r="K876" i="4" s="1"/>
  <c r="J877" i="4"/>
  <c r="K877" i="4" s="1"/>
  <c r="J878" i="4"/>
  <c r="K878" i="4" s="1"/>
  <c r="J879" i="4"/>
  <c r="K879" i="4" s="1"/>
  <c r="J880" i="4"/>
  <c r="K880" i="4" s="1"/>
  <c r="J881" i="4"/>
  <c r="K881" i="4" s="1"/>
  <c r="J882" i="4"/>
  <c r="K882" i="4" s="1"/>
  <c r="J883" i="4"/>
  <c r="K883" i="4" s="1"/>
  <c r="J884" i="4"/>
  <c r="K884" i="4" s="1"/>
  <c r="J885" i="4"/>
  <c r="K885" i="4" s="1"/>
  <c r="J886" i="4"/>
  <c r="K886" i="4" s="1"/>
  <c r="J887" i="4"/>
  <c r="K887" i="4" s="1"/>
  <c r="J888" i="4"/>
  <c r="K888" i="4" s="1"/>
  <c r="J889" i="4"/>
  <c r="K889" i="4" s="1"/>
  <c r="J890" i="4"/>
  <c r="K890" i="4" s="1"/>
  <c r="J891" i="4"/>
  <c r="K891" i="4" s="1"/>
  <c r="J892" i="4"/>
  <c r="K892" i="4" s="1"/>
  <c r="J893" i="4"/>
  <c r="K893" i="4" s="1"/>
  <c r="J894" i="4"/>
  <c r="K894" i="4" s="1"/>
  <c r="J895" i="4"/>
  <c r="K895" i="4" s="1"/>
  <c r="J896" i="4"/>
  <c r="K896" i="4" s="1"/>
  <c r="J897" i="4"/>
  <c r="K897" i="4" s="1"/>
  <c r="J898" i="4"/>
  <c r="K898" i="4" s="1"/>
  <c r="J899" i="4"/>
  <c r="K899" i="4" s="1"/>
  <c r="J900" i="4"/>
  <c r="K900" i="4" s="1"/>
  <c r="J901" i="4"/>
  <c r="K901" i="4" s="1"/>
  <c r="J902" i="4"/>
  <c r="K902" i="4" s="1"/>
  <c r="J903" i="4"/>
  <c r="K903" i="4" s="1"/>
  <c r="J904" i="4"/>
  <c r="K904" i="4" s="1"/>
  <c r="J905" i="4"/>
  <c r="K905" i="4" s="1"/>
  <c r="J906" i="4"/>
  <c r="K906" i="4" s="1"/>
  <c r="J907" i="4"/>
  <c r="K907" i="4" s="1"/>
  <c r="J908" i="4"/>
  <c r="K908" i="4" s="1"/>
  <c r="J909" i="4"/>
  <c r="K909" i="4" s="1"/>
  <c r="J910" i="4"/>
  <c r="K910" i="4" s="1"/>
  <c r="J911" i="4"/>
  <c r="K911" i="4" s="1"/>
  <c r="J912" i="4"/>
  <c r="K912" i="4" s="1"/>
  <c r="J913" i="4"/>
  <c r="K913" i="4" s="1"/>
  <c r="J914" i="4"/>
  <c r="K914" i="4" s="1"/>
  <c r="J915" i="4"/>
  <c r="K915" i="4" s="1"/>
  <c r="J916" i="4"/>
  <c r="K916" i="4" s="1"/>
  <c r="J917" i="4"/>
  <c r="K917" i="4" s="1"/>
  <c r="J918" i="4"/>
  <c r="K918" i="4" s="1"/>
  <c r="J919" i="4"/>
  <c r="K919" i="4" s="1"/>
  <c r="J920" i="4"/>
  <c r="K920" i="4" s="1"/>
  <c r="J921" i="4"/>
  <c r="K921" i="4" s="1"/>
  <c r="J922" i="4"/>
  <c r="K922" i="4" s="1"/>
  <c r="J923" i="4"/>
  <c r="K923" i="4" s="1"/>
  <c r="J924" i="4"/>
  <c r="K924" i="4" s="1"/>
  <c r="J925" i="4"/>
  <c r="K925" i="4" s="1"/>
  <c r="J926" i="4"/>
  <c r="K926" i="4" s="1"/>
  <c r="J927" i="4"/>
  <c r="K927" i="4" s="1"/>
  <c r="J928" i="4"/>
  <c r="K928" i="4" s="1"/>
  <c r="J929" i="4"/>
  <c r="K929" i="4" s="1"/>
  <c r="J930" i="4"/>
  <c r="K930" i="4" s="1"/>
  <c r="J931" i="4"/>
  <c r="K931" i="4" s="1"/>
  <c r="J932" i="4"/>
  <c r="K932" i="4" s="1"/>
  <c r="J933" i="4"/>
  <c r="K933" i="4" s="1"/>
  <c r="J934" i="4"/>
  <c r="K934" i="4" s="1"/>
  <c r="J935" i="4"/>
  <c r="K935" i="4" s="1"/>
  <c r="J936" i="4"/>
  <c r="K936" i="4" s="1"/>
  <c r="J937" i="4"/>
  <c r="K937" i="4" s="1"/>
  <c r="J938" i="4"/>
  <c r="K938" i="4" s="1"/>
  <c r="J939" i="4"/>
  <c r="K939" i="4" s="1"/>
  <c r="J940" i="4"/>
  <c r="K940" i="4" s="1"/>
  <c r="J941" i="4"/>
  <c r="K941" i="4" s="1"/>
  <c r="J942" i="4"/>
  <c r="K942" i="4" s="1"/>
  <c r="J943" i="4"/>
  <c r="K943" i="4" s="1"/>
  <c r="J944" i="4"/>
  <c r="K944" i="4" s="1"/>
  <c r="J945" i="4"/>
  <c r="K945" i="4" s="1"/>
  <c r="J946" i="4"/>
  <c r="K946" i="4" s="1"/>
  <c r="J947" i="4"/>
  <c r="K947" i="4" s="1"/>
  <c r="J948" i="4"/>
  <c r="K948" i="4" s="1"/>
  <c r="J949" i="4"/>
  <c r="K949" i="4" s="1"/>
  <c r="J950" i="4"/>
  <c r="K950" i="4" s="1"/>
  <c r="J951" i="4"/>
  <c r="K951" i="4" s="1"/>
  <c r="J952" i="4"/>
  <c r="K952" i="4" s="1"/>
  <c r="J953" i="4"/>
  <c r="K953" i="4" s="1"/>
  <c r="J954" i="4"/>
  <c r="K954" i="4" s="1"/>
  <c r="J955" i="4"/>
  <c r="K955" i="4" s="1"/>
  <c r="J956" i="4"/>
  <c r="K956" i="4" s="1"/>
  <c r="J957" i="4"/>
  <c r="K957" i="4" s="1"/>
  <c r="J958" i="4"/>
  <c r="K958" i="4" s="1"/>
  <c r="J959" i="4"/>
  <c r="K959" i="4" s="1"/>
  <c r="J960" i="4"/>
  <c r="K960" i="4" s="1"/>
  <c r="J961" i="4"/>
  <c r="K961" i="4" s="1"/>
  <c r="J962" i="4"/>
  <c r="K962" i="4" s="1"/>
  <c r="J963" i="4"/>
  <c r="K963" i="4" s="1"/>
  <c r="J964" i="4"/>
  <c r="K964" i="4" s="1"/>
  <c r="J965" i="4"/>
  <c r="K965" i="4" s="1"/>
  <c r="J966" i="4"/>
  <c r="K966" i="4" s="1"/>
  <c r="J967" i="4"/>
  <c r="K967" i="4" s="1"/>
  <c r="J968" i="4"/>
  <c r="K968" i="4" s="1"/>
  <c r="J969" i="4"/>
  <c r="K969" i="4" s="1"/>
  <c r="J970" i="4"/>
  <c r="K970" i="4" s="1"/>
  <c r="J971" i="4"/>
  <c r="K971" i="4" s="1"/>
  <c r="J972" i="4"/>
  <c r="K972" i="4" s="1"/>
  <c r="J973" i="4"/>
  <c r="K973" i="4" s="1"/>
  <c r="J974" i="4"/>
  <c r="K974" i="4" s="1"/>
  <c r="J975" i="4"/>
  <c r="K975" i="4" s="1"/>
  <c r="J976" i="4"/>
  <c r="K976" i="4" s="1"/>
  <c r="J977" i="4"/>
  <c r="K977" i="4" s="1"/>
  <c r="J978" i="4"/>
  <c r="K978" i="4" s="1"/>
  <c r="J979" i="4"/>
  <c r="K979" i="4" s="1"/>
  <c r="J980" i="4"/>
  <c r="K980" i="4" s="1"/>
  <c r="J981" i="4"/>
  <c r="K981" i="4" s="1"/>
  <c r="J982" i="4"/>
  <c r="K982" i="4" s="1"/>
  <c r="J983" i="4"/>
  <c r="K983" i="4" s="1"/>
  <c r="J984" i="4"/>
  <c r="K984" i="4" s="1"/>
  <c r="J985" i="4"/>
  <c r="K985" i="4" s="1"/>
  <c r="J986" i="4"/>
  <c r="K986" i="4" s="1"/>
  <c r="J987" i="4"/>
  <c r="K987" i="4" s="1"/>
  <c r="J988" i="4"/>
  <c r="K988" i="4" s="1"/>
  <c r="J989" i="4"/>
  <c r="K989" i="4" s="1"/>
  <c r="J990" i="4"/>
  <c r="K990" i="4" s="1"/>
  <c r="J991" i="4"/>
  <c r="K991" i="4" s="1"/>
  <c r="J992" i="4"/>
  <c r="K992" i="4" s="1"/>
  <c r="J993" i="4"/>
  <c r="K993" i="4" s="1"/>
  <c r="J994" i="4"/>
  <c r="K994" i="4" s="1"/>
  <c r="J995" i="4"/>
  <c r="K995" i="4" s="1"/>
  <c r="J996" i="4"/>
  <c r="K996" i="4" s="1"/>
  <c r="J997" i="4"/>
  <c r="K997" i="4" s="1"/>
  <c r="J998" i="4"/>
  <c r="K998" i="4" s="1"/>
  <c r="J999" i="4"/>
  <c r="K999" i="4" s="1"/>
  <c r="J1000" i="4"/>
  <c r="K1000" i="4" s="1"/>
  <c r="J1001" i="4"/>
  <c r="K1001" i="4" s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Week 1.xlsx!Table2" type="102" refreshedVersion="6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Week1.xlsxTable2"/>
        </x15:connection>
      </ext>
    </extLst>
  </connection>
</connections>
</file>

<file path=xl/sharedStrings.xml><?xml version="1.0" encoding="utf-8"?>
<sst xmlns="http://schemas.openxmlformats.org/spreadsheetml/2006/main" count="3142" uniqueCount="1093">
  <si>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</si>
  <si>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</si>
  <si>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</si>
  <si>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</si>
  <si>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</si>
  <si>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</si>
  <si>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</si>
  <si>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</si>
  <si>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</si>
  <si>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</si>
  <si>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</si>
  <si>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</si>
  <si>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</si>
  <si>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</si>
  <si>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</si>
  <si>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</si>
  <si>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</si>
  <si>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</si>
  <si>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</si>
  <si>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</si>
  <si>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</si>
  <si>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</si>
  <si>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</si>
  <si>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</si>
  <si>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</si>
  <si>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</si>
  <si>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</si>
  <si>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</si>
  <si>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</si>
  <si>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</si>
  <si>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</si>
  <si>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</si>
  <si>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</si>
  <si>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</si>
  <si>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</si>
  <si>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</si>
  <si>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</si>
  <si>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</si>
  <si>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</si>
  <si>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</si>
  <si>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</si>
  <si>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</si>
  <si>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</si>
  <si>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</si>
  <si>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</si>
  <si>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</si>
  <si>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</si>
  <si>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</si>
  <si>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</si>
  <si>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</si>
  <si>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</si>
  <si>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</si>
  <si>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</si>
  <si>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</si>
  <si>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</si>
  <si>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</si>
  <si>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</si>
  <si>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</si>
  <si>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</si>
  <si>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</si>
  <si>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</si>
  <si>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</si>
  <si>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</si>
  <si>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</si>
  <si>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</si>
  <si>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</si>
  <si>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</si>
  <si>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</si>
  <si>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</si>
  <si>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</si>
  <si>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</si>
  <si>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</si>
  <si>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</si>
  <si>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</si>
  <si>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</si>
  <si>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</si>
  <si>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</si>
  <si>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</si>
  <si>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</si>
  <si>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</si>
  <si>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</si>
  <si>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</si>
  <si>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</si>
  <si>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</si>
  <si>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</si>
  <si>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</si>
  <si>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</si>
  <si>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</si>
  <si>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</si>
  <si>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</si>
  <si>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</si>
  <si>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</si>
  <si>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</si>
  <si>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</si>
  <si>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</si>
  <si>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</si>
  <si>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</si>
  <si>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</si>
  <si>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</si>
  <si>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</si>
  <si>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</si>
  <si>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</si>
  <si>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</si>
  <si>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</si>
  <si>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</si>
  <si>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</si>
  <si>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</si>
  <si>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</si>
  <si>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</si>
  <si>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</si>
  <si>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</si>
  <si>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</si>
  <si>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</si>
  <si>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</si>
  <si>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</si>
  <si>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</si>
  <si>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</si>
  <si>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</si>
  <si>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</si>
  <si>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</si>
  <si>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</si>
  <si>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</si>
  <si>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</si>
  <si>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</si>
  <si>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</si>
  <si>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</si>
  <si>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</si>
  <si>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</si>
  <si>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</si>
  <si>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</si>
  <si>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</si>
  <si>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</si>
  <si>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</si>
  <si>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</si>
  <si>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</si>
  <si>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</si>
  <si>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</si>
  <si>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</si>
  <si>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</si>
  <si>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</si>
  <si>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</si>
  <si>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</si>
  <si>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</si>
  <si>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</si>
  <si>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</si>
  <si>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</si>
  <si>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</si>
  <si>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</si>
  <si>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</si>
  <si>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</si>
  <si>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</si>
  <si>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</si>
  <si>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</si>
  <si>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</si>
  <si>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</si>
  <si>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</si>
  <si>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</si>
  <si>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</si>
  <si>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</si>
  <si>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</si>
  <si>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</si>
  <si>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</si>
  <si>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</si>
  <si>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</si>
  <si>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</si>
  <si>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</si>
  <si>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</si>
  <si>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</si>
  <si>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</si>
  <si>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</si>
  <si>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</si>
  <si>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</si>
  <si>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</si>
  <si>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</si>
  <si>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</si>
  <si>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</si>
  <si>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</si>
  <si>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</si>
  <si>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</si>
  <si>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</si>
  <si>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</si>
  <si>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</si>
  <si>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</si>
  <si>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</si>
  <si>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</si>
  <si>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</si>
  <si>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</si>
  <si>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</si>
  <si>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</si>
  <si>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</si>
  <si>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</si>
  <si>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</si>
  <si>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</si>
  <si>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</si>
  <si>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</si>
  <si>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</si>
  <si>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</si>
  <si>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</si>
  <si>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</si>
  <si>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</si>
  <si>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</si>
  <si>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</si>
  <si>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</si>
  <si>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</si>
  <si>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</si>
  <si>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</si>
  <si>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</si>
  <si>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</si>
  <si>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</si>
  <si>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</si>
  <si>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</si>
  <si>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</si>
  <si>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</si>
  <si>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</si>
  <si>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</si>
  <si>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</si>
  <si>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</si>
  <si>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</si>
  <si>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</si>
  <si>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</si>
  <si>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</si>
  <si>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</si>
  <si>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</si>
  <si>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</si>
  <si>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</si>
  <si>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</si>
  <si>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</si>
  <si>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</si>
  <si>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</si>
  <si>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</si>
  <si>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</si>
  <si>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</si>
  <si>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</si>
  <si>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</si>
  <si>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</si>
  <si>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</si>
  <si>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</si>
  <si>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</si>
  <si>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</si>
  <si>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</si>
  <si>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</si>
  <si>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</si>
  <si>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</si>
  <si>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</si>
  <si>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</si>
  <si>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</si>
  <si>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</si>
  <si>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</si>
  <si>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</si>
  <si>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</si>
  <si>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</si>
  <si>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</si>
  <si>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</si>
  <si>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</si>
  <si>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</si>
  <si>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</si>
  <si>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</si>
  <si>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</si>
  <si>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</si>
  <si>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</si>
  <si>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</si>
  <si>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</si>
  <si>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</si>
  <si>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</si>
  <si>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</si>
  <si>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</si>
  <si>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</si>
  <si>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</si>
  <si>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</si>
  <si>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</si>
  <si>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</si>
  <si>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</si>
  <si>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</si>
  <si>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</si>
  <si>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</si>
  <si>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</si>
  <si>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</si>
  <si>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</si>
  <si>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</si>
  <si>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</si>
  <si>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</si>
  <si>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</si>
  <si>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</si>
  <si>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</si>
  <si>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</si>
  <si>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</si>
  <si>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</si>
  <si>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</si>
  <si>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</si>
  <si>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</si>
  <si>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</si>
  <si>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</si>
  <si>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</si>
  <si>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</si>
  <si>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</si>
  <si>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</si>
  <si>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</si>
  <si>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</si>
  <si>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</si>
  <si>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</si>
  <si>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</si>
  <si>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</si>
  <si>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</si>
  <si>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</si>
  <si>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</si>
  <si>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</si>
  <si>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</si>
  <si>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</si>
  <si>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</si>
  <si>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</si>
  <si>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</si>
  <si>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</si>
  <si>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</si>
  <si>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</si>
  <si>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</si>
  <si>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</si>
  <si>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</si>
  <si>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</si>
  <si>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</si>
  <si>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</si>
  <si>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</si>
  <si>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</si>
  <si>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</si>
  <si>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</si>
  <si>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</si>
  <si>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</si>
  <si>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</si>
  <si>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</si>
  <si>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</si>
  <si>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</si>
  <si>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</si>
  <si>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</si>
  <si>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</si>
  <si>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</si>
  <si>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</si>
  <si>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</si>
  <si>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</si>
  <si>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</si>
  <si>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</si>
  <si>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</si>
  <si>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</si>
  <si>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</si>
  <si>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</si>
  <si>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</si>
  <si>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</si>
  <si>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</si>
  <si>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</si>
  <si>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</si>
  <si>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</si>
  <si>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</si>
  <si>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</si>
  <si>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</si>
  <si>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</si>
  <si>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</si>
  <si>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</si>
  <si>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</si>
  <si>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</si>
  <si>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</si>
  <si>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</si>
  <si>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</si>
  <si>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</si>
  <si>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</si>
  <si>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</si>
  <si>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</si>
  <si>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</si>
  <si>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</si>
  <si>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</si>
  <si>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</si>
  <si>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</si>
  <si>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</si>
  <si>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</si>
  <si>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</si>
  <si>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</si>
  <si>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</si>
  <si>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</si>
  <si>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</si>
  <si>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</si>
  <si>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</si>
  <si>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</si>
  <si>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</si>
  <si>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</si>
  <si>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</si>
  <si>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</si>
  <si>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</si>
  <si>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</si>
  <si>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</si>
  <si>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</si>
  <si>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</si>
  <si>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</si>
  <si>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</si>
  <si>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</si>
  <si>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</si>
  <si>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</si>
  <si>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</si>
  <si>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</si>
  <si>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</si>
  <si>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</si>
  <si>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</si>
  <si>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</si>
  <si>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</si>
  <si>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</si>
  <si>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</si>
  <si>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</si>
  <si>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</si>
  <si>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</si>
  <si>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</si>
  <si>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</si>
  <si>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</si>
  <si>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</si>
  <si>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</si>
  <si>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</si>
  <si>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</si>
  <si>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</si>
  <si>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</si>
  <si>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</si>
  <si>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</si>
  <si>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</si>
  <si>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</si>
  <si>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</si>
  <si>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</si>
  <si>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</si>
  <si>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</si>
  <si>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</si>
  <si>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</si>
  <si>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</si>
  <si>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</si>
  <si>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</si>
  <si>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</si>
  <si>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</si>
  <si>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</si>
  <si>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</si>
  <si>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</si>
  <si>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</si>
  <si>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</si>
  <si>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</si>
  <si>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</si>
  <si>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</si>
  <si>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</si>
  <si>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</si>
  <si>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</si>
  <si>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</si>
  <si>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</si>
  <si>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</si>
  <si>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</si>
  <si>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</si>
  <si>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</si>
  <si>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</si>
  <si>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</si>
  <si>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</si>
  <si>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</si>
  <si>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</si>
  <si>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</si>
  <si>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</si>
  <si>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</si>
  <si>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</si>
  <si>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</si>
  <si>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</si>
  <si>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</si>
  <si>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</si>
  <si>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</si>
  <si>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</si>
  <si>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</si>
  <si>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</si>
  <si>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</si>
  <si>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</si>
  <si>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</si>
  <si>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</si>
  <si>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</si>
  <si>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</si>
  <si>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</si>
  <si>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</si>
  <si>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</si>
  <si>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</si>
  <si>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</si>
  <si>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</si>
  <si>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</si>
  <si>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</si>
  <si>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</si>
  <si>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</si>
  <si>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</si>
  <si>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</si>
  <si>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</si>
  <si>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</si>
  <si>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</si>
  <si>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</si>
  <si>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</si>
  <si>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</si>
  <si>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</si>
  <si>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</si>
  <si>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</si>
  <si>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</si>
  <si>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</si>
  <si>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</si>
  <si>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</si>
  <si>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</si>
  <si>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</si>
  <si>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</si>
  <si>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</si>
  <si>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</si>
  <si>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</si>
  <si>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</si>
  <si>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</si>
  <si>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</si>
  <si>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</si>
  <si>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</si>
  <si>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</si>
  <si>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</si>
  <si>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</si>
  <si>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</si>
  <si>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</si>
  <si>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</si>
  <si>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</si>
  <si>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</si>
  <si>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</si>
  <si>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</si>
  <si>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</si>
  <si>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</si>
  <si>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</si>
  <si>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</si>
  <si>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</si>
  <si>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</si>
  <si>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</si>
  <si>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</si>
  <si>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</si>
  <si>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</si>
  <si>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</si>
  <si>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</si>
  <si>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</si>
  <si>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</si>
  <si>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</si>
  <si>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</si>
  <si>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</si>
  <si>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</si>
  <si>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</si>
  <si>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</si>
  <si>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</si>
  <si>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</si>
  <si>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</si>
  <si>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</si>
  <si>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</si>
  <si>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</si>
  <si>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</si>
  <si>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</si>
  <si>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</si>
  <si>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</si>
  <si>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</si>
  <si>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</si>
  <si>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</si>
  <si>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</si>
  <si>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</si>
  <si>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</si>
  <si>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</si>
  <si>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</si>
  <si>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</si>
  <si>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</si>
  <si>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</si>
  <si>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</si>
  <si>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</si>
  <si>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</si>
  <si>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</si>
  <si>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</si>
  <si>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</si>
  <si>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</si>
  <si>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</si>
  <si>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</si>
  <si>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</si>
  <si>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</si>
  <si>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</si>
  <si>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</si>
  <si>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</si>
  <si>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</si>
  <si>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</si>
  <si>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</si>
  <si>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</si>
  <si>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</si>
  <si>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</si>
  <si>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</si>
  <si>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</si>
  <si>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</si>
  <si>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</si>
  <si>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</si>
  <si>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</si>
  <si>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</si>
  <si>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</si>
  <si>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</si>
  <si>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</si>
  <si>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</si>
  <si>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</si>
  <si>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</si>
  <si>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</si>
  <si>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</si>
  <si>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</si>
  <si>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</si>
  <si>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</si>
  <si>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</si>
  <si>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</si>
  <si>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</si>
  <si>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</si>
  <si>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</si>
  <si>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</si>
  <si>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</si>
  <si>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</si>
  <si>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</si>
  <si>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</si>
  <si>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</si>
  <si>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</si>
  <si>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</si>
  <si>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</si>
  <si>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</si>
  <si>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</si>
  <si>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</si>
  <si>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</si>
  <si>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</si>
  <si>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</si>
  <si>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</si>
  <si>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</si>
  <si>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</si>
  <si>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</si>
  <si>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</si>
  <si>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</si>
  <si>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</si>
  <si>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</si>
  <si>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</si>
  <si>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</si>
  <si>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</si>
  <si>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</si>
  <si>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</si>
  <si>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</si>
  <si>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</si>
  <si>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</si>
  <si>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</si>
  <si>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</si>
  <si>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</si>
  <si>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</si>
  <si>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</si>
  <si>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</si>
  <si>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</si>
  <si>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</si>
  <si>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</si>
  <si>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</si>
  <si>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</si>
  <si>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</si>
  <si>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</si>
  <si>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</si>
  <si>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</si>
  <si>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</si>
  <si>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</si>
  <si>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</si>
  <si>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</si>
  <si>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</si>
  <si>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</si>
  <si>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</si>
  <si>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</si>
  <si>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</si>
  <si>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</si>
  <si>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</si>
  <si>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</si>
  <si>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</si>
  <si>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</si>
  <si>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</si>
  <si>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</si>
  <si>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</si>
  <si>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</si>
  <si>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</si>
  <si>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</si>
  <si>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</si>
  <si>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</si>
  <si>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</si>
  <si>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</si>
  <si>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</si>
  <si>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</si>
  <si>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</si>
  <si>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</si>
  <si>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</si>
  <si>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</si>
  <si>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</si>
  <si>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</si>
  <si>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</si>
  <si>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</si>
  <si>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</si>
  <si>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</si>
  <si>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</si>
  <si>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</si>
  <si>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</si>
  <si>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</si>
  <si>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</si>
  <si>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</si>
  <si>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</si>
  <si>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</si>
  <si>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</si>
  <si>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</si>
  <si>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</si>
  <si>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</si>
  <si>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</si>
  <si>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</si>
  <si>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</si>
  <si>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</si>
  <si>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</si>
  <si>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</si>
  <si>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</si>
  <si>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</si>
  <si>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</si>
  <si>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</si>
  <si>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</si>
  <si>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</si>
  <si>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</si>
  <si>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</si>
  <si>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</si>
  <si>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</si>
  <si>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</si>
  <si>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</si>
  <si>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</si>
  <si>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</si>
  <si>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</si>
  <si>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</si>
  <si>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</si>
  <si>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</si>
  <si>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</si>
  <si>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</si>
  <si>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</si>
  <si>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</si>
  <si>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</si>
  <si>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</si>
  <si>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</si>
  <si>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</si>
  <si>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</si>
  <si>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</si>
  <si>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</si>
  <si>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</si>
  <si>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</si>
  <si>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</si>
  <si>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</si>
  <si>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</si>
  <si>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</si>
  <si>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</si>
  <si>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</si>
  <si>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</si>
  <si>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</si>
  <si>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</si>
  <si>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</si>
  <si>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</si>
  <si>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</si>
  <si>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</si>
  <si>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</si>
  <si>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</si>
  <si>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</si>
  <si>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</si>
  <si>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</si>
  <si>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</si>
  <si>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</si>
  <si>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</si>
  <si>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</si>
  <si>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</si>
  <si>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</si>
  <si>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</si>
  <si>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</si>
  <si>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</si>
  <si>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</si>
  <si>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</si>
  <si>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</si>
  <si>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</si>
  <si>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</si>
  <si>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</si>
  <si>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</si>
  <si>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</si>
  <si>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</si>
  <si>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</si>
  <si>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</si>
  <si>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</si>
  <si>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</si>
  <si>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</si>
  <si>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</si>
  <si>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</si>
  <si>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</si>
  <si>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</si>
  <si>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</si>
  <si>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</si>
  <si>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</si>
  <si>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</si>
  <si>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</si>
  <si>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</si>
  <si>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</si>
  <si>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</si>
  <si>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</si>
  <si>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</si>
  <si>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</si>
  <si>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</si>
  <si>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</si>
  <si>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</si>
  <si>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</si>
  <si>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</si>
  <si>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</si>
  <si>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</si>
  <si>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</si>
  <si>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</si>
  <si>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</si>
  <si>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</si>
  <si>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</si>
  <si>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</si>
  <si>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</si>
  <si>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</si>
  <si>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</si>
  <si>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</si>
  <si>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</si>
  <si>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</si>
  <si>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</si>
  <si>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</si>
  <si>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</si>
  <si>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</si>
  <si>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</si>
  <si>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</si>
  <si>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</si>
  <si>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</si>
  <si>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</si>
  <si>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</si>
  <si>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</si>
  <si>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</si>
  <si>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</si>
  <si>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</si>
  <si>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</si>
  <si>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</si>
  <si>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</si>
  <si>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</si>
  <si>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</si>
  <si>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</si>
  <si>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</si>
  <si>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</si>
  <si>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</si>
  <si>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</si>
  <si>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</si>
  <si>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</si>
  <si>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</si>
  <si>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</si>
  <si>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</si>
  <si>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</si>
  <si>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</si>
  <si>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</si>
  <si>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</si>
  <si>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</si>
  <si>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</si>
  <si>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</si>
  <si>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</si>
  <si>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</si>
  <si>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</si>
  <si>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</si>
  <si>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</si>
  <si>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</si>
  <si>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</si>
  <si>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</si>
  <si>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</si>
  <si>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</si>
  <si>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</si>
  <si>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</si>
  <si>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</si>
  <si>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</si>
  <si>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</si>
  <si>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</si>
  <si>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</si>
  <si>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</si>
  <si>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</si>
  <si>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</si>
  <si>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</si>
  <si>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</si>
  <si>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</si>
  <si>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</si>
  <si>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</si>
  <si>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</si>
  <si>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</si>
  <si>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</si>
  <si>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</si>
  <si>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</si>
  <si>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</si>
  <si>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</si>
  <si>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</si>
  <si>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</si>
  <si>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</si>
  <si>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</si>
  <si>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</si>
  <si>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</si>
  <si>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</si>
  <si>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</si>
  <si>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</si>
  <si>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</si>
  <si>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</si>
  <si>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</si>
  <si>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</si>
  <si>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</si>
  <si>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</si>
  <si>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</si>
  <si>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</si>
  <si>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</si>
  <si>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</si>
  <si>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</si>
  <si>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</si>
  <si>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</si>
  <si>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</si>
  <si>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</si>
  <si>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</si>
  <si>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</si>
  <si>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</si>
  <si>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</si>
  <si>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</si>
  <si>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</si>
  <si>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</si>
  <si>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</si>
  <si>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</si>
  <si>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</si>
  <si>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</si>
  <si>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</si>
  <si>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</si>
  <si>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</si>
  <si>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</si>
  <si>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</si>
  <si>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</si>
  <si>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</si>
  <si>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</si>
  <si>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</si>
  <si>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</si>
  <si>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</si>
  <si>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</si>
  <si>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</si>
  <si>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</si>
  <si>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</si>
  <si>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</si>
  <si>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</si>
  <si>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</si>
  <si>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</si>
  <si>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</si>
  <si>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</si>
  <si>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</si>
  <si>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</si>
  <si>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</si>
  <si>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</si>
  <si>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</si>
  <si>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</si>
  <si>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</si>
  <si>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</si>
  <si>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</si>
  <si>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</si>
  <si>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</si>
  <si>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</si>
  <si>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</si>
  <si>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</si>
  <si>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</si>
  <si>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</si>
  <si>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</si>
  <si>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</si>
  <si>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</si>
  <si>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</si>
  <si>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</si>
  <si>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</si>
  <si>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</si>
  <si>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</si>
  <si>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</si>
  <si>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</si>
  <si>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</si>
  <si>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</si>
  <si>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</si>
  <si>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</si>
  <si>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</si>
  <si>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</si>
  <si>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</si>
  <si>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</si>
  <si>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</si>
  <si>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</si>
  <si>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</si>
  <si>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</si>
  <si>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</si>
  <si>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</si>
  <si>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</si>
  <si>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</si>
  <si>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</si>
  <si>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</si>
  <si>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</si>
  <si>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</si>
  <si>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</si>
  <si>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</si>
  <si>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</si>
  <si>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</si>
  <si>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</si>
  <si>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</si>
  <si>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</si>
  <si>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</si>
  <si>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</si>
  <si>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</si>
  <si>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</si>
  <si>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</si>
  <si>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</si>
  <si>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</si>
  <si>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</si>
  <si>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</si>
  <si>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</si>
  <si>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</si>
  <si>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</si>
  <si>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</si>
  <si>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</si>
  <si>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</si>
  <si>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</si>
  <si>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</si>
  <si>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</si>
  <si>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</si>
  <si>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</si>
  <si>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</si>
  <si>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</si>
  <si>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</si>
  <si>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</si>
  <si>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</si>
  <si>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</si>
  <si>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</si>
  <si>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</si>
  <si>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</si>
  <si>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</si>
  <si>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</si>
  <si>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</si>
  <si>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1. How many rows are in the dataset? </t>
  </si>
  <si>
    <t xml:space="preserve">2. How many columns are in the dataset? </t>
  </si>
  <si>
    <t xml:space="preserve">3. What type of data is stored in the Date column? </t>
  </si>
  <si>
    <t>General</t>
  </si>
  <si>
    <t xml:space="preserve">4. What type of data is stored in the Product Category column? </t>
  </si>
  <si>
    <t xml:space="preserve">5. What type of data is stored in the Total Amount column? </t>
  </si>
  <si>
    <t xml:space="preserve">6. What are the unique product categories available in the dataset? </t>
  </si>
  <si>
    <t>Beauty, Clothing, Electronics</t>
  </si>
  <si>
    <t xml:space="preserve">7. What is the minimum and maximum age of customers? </t>
  </si>
  <si>
    <t>Min Age = 18</t>
  </si>
  <si>
    <t>Max Age = 64</t>
  </si>
  <si>
    <t xml:space="preserve">1. Are there any blank cells in the dataset? </t>
  </si>
  <si>
    <t>No</t>
  </si>
  <si>
    <t xml:space="preserve">2. Are there any duplicate rows? 
2. Are there any duplicate rows? </t>
  </si>
  <si>
    <t xml:space="preserve">3. Are all values in the Quantity column valid? </t>
  </si>
  <si>
    <t>Yes</t>
  </si>
  <si>
    <t xml:space="preserve">4. Are all values in the Price per Unit column valid? </t>
  </si>
  <si>
    <t xml:space="preserve">5. Does Total Amount match this formula? </t>
  </si>
  <si>
    <t>Calculated Total</t>
  </si>
  <si>
    <t>Amount Check</t>
  </si>
  <si>
    <t>Done, check for Cleaned Data Sheet</t>
  </si>
  <si>
    <t xml:space="preserve">1. Total sales amount </t>
  </si>
  <si>
    <t xml:space="preserve">2. Average sales amount </t>
  </si>
  <si>
    <t xml:space="preserve">3. Minimum sales amount </t>
  </si>
  <si>
    <t xml:space="preserve">4. Maximum sales amount </t>
  </si>
  <si>
    <t>5. Total quantity sold 
5. Total quantity sold 
5. Total quantity sold</t>
  </si>
  <si>
    <t xml:space="preserve">6. Average customer age </t>
  </si>
  <si>
    <t xml:space="preserve">7. Youngest customer age </t>
  </si>
  <si>
    <t xml:space="preserve">8. Oldest customer age </t>
  </si>
  <si>
    <t xml:space="preserve">9. Total number of transactions </t>
  </si>
  <si>
    <t xml:space="preserve">10. Total number of unique product categories </t>
  </si>
  <si>
    <t>1. Which transaction has the highest total amount?</t>
  </si>
  <si>
    <t xml:space="preserve">3. Show only transactions where Product Category is Clothing. 
</t>
  </si>
  <si>
    <t>4. Show only transactions where Gender is Female.</t>
  </si>
  <si>
    <t>None</t>
  </si>
  <si>
    <t>Sales by Product Category Table</t>
  </si>
  <si>
    <t>Total Sales</t>
  </si>
  <si>
    <t>Quantity Sold by Product Category Table</t>
  </si>
  <si>
    <t>Total Quantity Sold</t>
  </si>
  <si>
    <t xml:space="preserve">Sales by Gender </t>
  </si>
  <si>
    <t>S.No</t>
  </si>
  <si>
    <t>Finding</t>
  </si>
  <si>
    <t>Highest Sales Category</t>
  </si>
  <si>
    <t>Lowest Sales Category</t>
  </si>
  <si>
    <t>Observations Summary</t>
  </si>
  <si>
    <t>Sales by Gender</t>
  </si>
  <si>
    <t>Customer Age Range</t>
  </si>
  <si>
    <t>Total Transactions and Quantity</t>
  </si>
  <si>
    <t>Observations Points</t>
  </si>
  <si>
    <t>The category with the highest sales is Electronics, totaling 156,905.</t>
  </si>
  <si>
    <t>The category with the lowest sales is Beauty, totaling 143,515.</t>
  </si>
  <si>
    <t>Female customers generated more total sales (232,840) compared to male customers (223,160).</t>
  </si>
  <si>
    <t>The customer age ranges from the youngest at 18 years old to the oldest at 64 years old.</t>
  </si>
  <si>
    <t>There were a total of 1,000 transactions recorded, resulting in a total quantity of 2,514 units sold.</t>
  </si>
  <si>
    <t>Grand Total</t>
  </si>
  <si>
    <t>Sum of Quantity</t>
  </si>
  <si>
    <t>Sum of Total Amount</t>
  </si>
  <si>
    <t>Average of Age</t>
  </si>
  <si>
    <t>Total Sales by Product Category</t>
  </si>
  <si>
    <t>Total Sales by Gender</t>
  </si>
  <si>
    <t xml:space="preserve">Total Quantity by Product Category </t>
  </si>
  <si>
    <t>Average Age by Product Category</t>
  </si>
  <si>
    <t>Average Sales</t>
  </si>
  <si>
    <t>Total Transactions</t>
  </si>
  <si>
    <t>Highest Transaction Value</t>
  </si>
  <si>
    <t>Lowest Transaction Value</t>
  </si>
  <si>
    <t>KPIs Name</t>
  </si>
  <si>
    <t>Values</t>
  </si>
  <si>
    <t>Excel Insights</t>
  </si>
  <si>
    <t>Top Category</t>
  </si>
  <si>
    <t>Gender Trends</t>
  </si>
  <si>
    <t>Transaction Range</t>
  </si>
  <si>
    <t>Customer Age</t>
  </si>
  <si>
    <t>While Electronics leads in revenue, Clothing has the highest sales volume with 894 units sold.</t>
  </si>
  <si>
    <t>Female customers lead in total spending with 232,840 compared to 223,160 from male customers.</t>
  </si>
  <si>
    <t>Electronics is the strongest category, generating the highest total sales of 156,905.</t>
  </si>
  <si>
    <t>With 1,000 total transactions, values fluctuate significantly, ranging from a minimum of 25 to a maximum of 2,000.</t>
  </si>
  <si>
    <t>The average customer age is approximately 41, with Clothing shoppers being the oldest at an average of 41.95.</t>
  </si>
  <si>
    <t>Sales Volume: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</si>
</sst>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10" xfId="0" applyBorder="1" applyAlignment="1"/>
    <xf numFmtId="0" fontId="0" fillId="0" borderId="10" xfId="0" applyBorder="1"/>
    <xf numFmtId="0" fontId="16" fillId="0" borderId="0" xfId="0" applyFont="1"/>
    <xf numFmtId="14" fontId="16" fillId="0" borderId="0" xfId="0" applyNumberFormat="1" applyFont="1"/>
    <xf numFmtId="2" fontId="16" fillId="0" borderId="0" xfId="0" applyNumberFormat="1" applyFont="1"/>
    <xf numFmtId="2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16" fillId="36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Fill="1"/>
    <xf numFmtId="0" fontId="0" fillId="0" borderId="10" xfId="0" applyNumberFormat="1" applyBorder="1"/>
    <xf numFmtId="0" fontId="0" fillId="0" borderId="10" xfId="0" pivotButton="1" applyBorder="1"/>
    <xf numFmtId="2" fontId="0" fillId="0" borderId="10" xfId="0" applyNumberFormat="1" applyBorder="1"/>
    <xf numFmtId="0" fontId="16" fillId="37" borderId="10" xfId="0" applyFont="1" applyFill="1" applyBorder="1" applyAlignment="1">
      <alignment horizontal="center"/>
    </xf>
    <xf numFmtId="0" fontId="16" fillId="38" borderId="10" xfId="0" applyFont="1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16" fillId="34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right"/>
    </xf>
    <xf numFmtId="0" fontId="16" fillId="35" borderId="1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16" fillId="37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2" formatCode="0.00"/>
    </dxf>
    <dxf>
      <numFmt numFmtId="169" formatCode="0.0"/>
    </dxf>
    <dxf>
      <numFmt numFmtId="1" formatCode="0"/>
    </dxf>
    <dxf>
      <numFmt numFmtId="169" formatCode="0.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m/d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by Category</a:t>
            </a:r>
            <a:endParaRPr lang="en-US" b="1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Charts!$A$1:$A$5</c:f>
              <c:strCache>
                <c:ptCount val="5"/>
                <c:pt idx="0">
                  <c:v>Sales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Charts!$B$1:$B$5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9FD-45FF-98FF-9C58C69B6A2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Charts!$A$1:$A$5</c:f>
              <c:strCache>
                <c:ptCount val="5"/>
                <c:pt idx="0">
                  <c:v>Sales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Charts!$C$1:$C$5</c:f>
              <c:numCache>
                <c:formatCode>General</c:formatCode>
                <c:ptCount val="5"/>
                <c:pt idx="1">
                  <c:v>0</c:v>
                </c:pt>
                <c:pt idx="2">
                  <c:v>143515</c:v>
                </c:pt>
                <c:pt idx="3">
                  <c:v>155580</c:v>
                </c:pt>
                <c:pt idx="4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D-45FF-98FF-9C58C69B6A2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Charts!$A$1:$A$5</c:f>
              <c:strCache>
                <c:ptCount val="5"/>
                <c:pt idx="0">
                  <c:v>Sales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Charts!$D$1:$D$5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39FD-45FF-98FF-9C58C69B6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8417936"/>
        <c:axId val="1235006192"/>
      </c:barChart>
      <c:catAx>
        <c:axId val="142841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06192"/>
        <c:crosses val="autoZero"/>
        <c:auto val="1"/>
        <c:lblAlgn val="ctr"/>
        <c:lblOffset val="100"/>
        <c:noMultiLvlLbl val="0"/>
      </c:catAx>
      <c:valAx>
        <c:axId val="12350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Quantity Sold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Charts!$A$8:$A$12</c:f>
              <c:strCache>
                <c:ptCount val="5"/>
                <c:pt idx="0">
                  <c:v>Quantity Sold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Charts!$B$8:$B$12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797A-49A9-979A-0CFFAB8C95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Charts!$A$8:$A$12</c:f>
              <c:strCache>
                <c:ptCount val="5"/>
                <c:pt idx="0">
                  <c:v>Quantity Sold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Charts!$C$8:$C$12</c:f>
              <c:numCache>
                <c:formatCode>General</c:formatCode>
                <c:ptCount val="5"/>
                <c:pt idx="1">
                  <c:v>0</c:v>
                </c:pt>
                <c:pt idx="2">
                  <c:v>771</c:v>
                </c:pt>
                <c:pt idx="3">
                  <c:v>894</c:v>
                </c:pt>
                <c:pt idx="4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A-49A9-979A-0CFFAB8C958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Charts!$A$8:$A$12</c:f>
              <c:strCache>
                <c:ptCount val="5"/>
                <c:pt idx="0">
                  <c:v>Quantity Sold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Charts!$D$8:$D$12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797A-49A9-979A-0CFFAB8C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560496"/>
        <c:axId val="1428562160"/>
      </c:barChart>
      <c:catAx>
        <c:axId val="14285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62160"/>
        <c:crosses val="autoZero"/>
        <c:auto val="1"/>
        <c:lblAlgn val="ctr"/>
        <c:lblOffset val="100"/>
        <c:noMultiLvlLbl val="0"/>
      </c:catAx>
      <c:valAx>
        <c:axId val="14285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6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Gender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B2-4AFE-ADDE-8B478227C4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B2-4AFE-ADDE-8B478227C4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B2-4AFE-ADDE-8B478227C4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B2-4AFE-ADDE-8B478227C43B}"/>
              </c:ext>
            </c:extLst>
          </c:dPt>
          <c:cat>
            <c:strRef>
              <c:f>Charts!$A$15:$A$18</c:f>
              <c:strCache>
                <c:ptCount val="4"/>
                <c:pt idx="0">
                  <c:v>Sales by Gender </c:v>
                </c:pt>
                <c:pt idx="1">
                  <c:v>Gender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Charts!$B$15:$B$18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7AD-4D9C-9EF0-D6534DC7F63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B2-4AFE-ADDE-8B478227C4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B2-4AFE-ADDE-8B478227C4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B2-4AFE-ADDE-8B478227C4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3B2-4AFE-ADDE-8B478227C43B}"/>
              </c:ext>
            </c:extLst>
          </c:dPt>
          <c:cat>
            <c:strRef>
              <c:f>Charts!$A$15:$A$18</c:f>
              <c:strCache>
                <c:ptCount val="4"/>
                <c:pt idx="0">
                  <c:v>Sales by Gender </c:v>
                </c:pt>
                <c:pt idx="1">
                  <c:v>Gender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Charts!$C$15:$C$18</c:f>
              <c:numCache>
                <c:formatCode>General</c:formatCode>
                <c:ptCount val="4"/>
                <c:pt idx="1">
                  <c:v>0</c:v>
                </c:pt>
                <c:pt idx="2">
                  <c:v>223160</c:v>
                </c:pt>
                <c:pt idx="3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D-4D9C-9EF0-D6534DC7F633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3B2-4AFE-ADDE-8B478227C4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3B2-4AFE-ADDE-8B478227C4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3B2-4AFE-ADDE-8B478227C4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3B2-4AFE-ADDE-8B478227C43B}"/>
              </c:ext>
            </c:extLst>
          </c:dPt>
          <c:cat>
            <c:strRef>
              <c:f>Charts!$A$15:$A$18</c:f>
              <c:strCache>
                <c:ptCount val="4"/>
                <c:pt idx="0">
                  <c:v>Sales by Gender </c:v>
                </c:pt>
                <c:pt idx="1">
                  <c:v>Gender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Charts!$D$15:$D$18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77AD-4D9C-9EF0-D6534DC7F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0</xdr:row>
      <xdr:rowOff>57150</xdr:rowOff>
    </xdr:from>
    <xdr:to>
      <xdr:col>14</xdr:col>
      <xdr:colOff>228600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16</xdr:row>
      <xdr:rowOff>114300</xdr:rowOff>
    </xdr:from>
    <xdr:to>
      <xdr:col>14</xdr:col>
      <xdr:colOff>381000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16</xdr:row>
      <xdr:rowOff>85725</xdr:rowOff>
    </xdr:from>
    <xdr:to>
      <xdr:col>22</xdr:col>
      <xdr:colOff>457200</xdr:colOff>
      <xdr:row>30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19</xdr:col>
      <xdr:colOff>370209</xdr:colOff>
      <xdr:row>7</xdr:row>
      <xdr:rowOff>28575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5482"/>
        <a:stretch/>
      </xdr:blipFill>
      <xdr:spPr>
        <a:xfrm>
          <a:off x="1828800" y="762000"/>
          <a:ext cx="10123809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18</xdr:col>
      <xdr:colOff>591909</xdr:colOff>
      <xdr:row>26</xdr:row>
      <xdr:rowOff>161925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6117"/>
        <a:stretch/>
      </xdr:blipFill>
      <xdr:spPr>
        <a:xfrm>
          <a:off x="1828800" y="2095500"/>
          <a:ext cx="9735909" cy="30194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19</xdr:col>
      <xdr:colOff>160686</xdr:colOff>
      <xdr:row>53</xdr:row>
      <xdr:rowOff>18524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905500"/>
          <a:ext cx="9914286" cy="4209524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dmin" refreshedDate="46207.275614467595" backgroundQuery="1" createdVersion="6" refreshedVersion="6" minRefreshableVersion="3" recordCount="0" supportSubquery="1" supportAdvancedDrill="1">
  <cacheSource type="external" connectionId="1"/>
  <cacheFields count="2">
    <cacheField name="[Table2].[Product Category].[Product Category]" caption="Product Category" numFmtId="0" hierarchy="5" level="1">
      <sharedItems count="3">
        <s v="Beauty"/>
        <s v="Clothing"/>
        <s v="Electronics"/>
      </sharedItems>
    </cacheField>
    <cacheField name="[Measures].[Average of Age]" caption="Average of Age" numFmtId="0" hierarchy="16" level="32767"/>
  </cacheFields>
  <cacheHierarchies count="17">
    <cacheHierarchy uniqueName="[Table2].[Transaction ID]" caption="Transaction ID" attribute="1" defaultMemberUniqueName="[Table2].[Transaction ID].[All]" allUniqueName="[Table2].[Transaction ID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Product Category]" caption="Product Category" attribute="1" defaultMemberUniqueName="[Table2].[Product Category].[All]" allUniqueName="[Table2].[Product 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Price per Unit]" caption="Price per Unit" attribute="1" defaultMemberUniqueName="[Table2].[Price per Unit].[All]" allUniqueName="[Table2].[Price per Unit].[All]" dimensionUniqueName="[Table2]" displayFolder="" count="0" memberValueDatatype="20" unbalanced="0"/>
    <cacheHierarchy uniqueName="[Table2].[Total Amount]" caption="Total Amount" attribute="1" defaultMemberUniqueName="[Table2].[Total Amount].[All]" allUniqueName="[Table2].[Total Amount].[All]" dimensionUniqueName="[Table2]" displayFolder="" count="0" memberValueDatatype="20" unbalanced="0"/>
    <cacheHierarchy uniqueName="[Table2].[Calculated Total]" caption="Calculated Total" attribute="1" defaultMemberUniqueName="[Table2].[Calculated Total].[All]" allUniqueName="[Table2].[Calculated Total].[All]" dimensionUniqueName="[Table2]" displayFolder="" count="0" memberValueDatatype="20" unbalanced="0"/>
    <cacheHierarchy uniqueName="[Table2].[Amount Check]" caption="Amount Check" attribute="1" defaultMemberUniqueName="[Table2].[Amount Check].[All]" allUniqueName="[Table2].[Amount Check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ge]" caption="Sum of Ag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ge]" caption="Average of Ag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min" refreshedDate="46207.272163773145" backgroundQuery="1" createdVersion="6" refreshedVersion="6" minRefreshableVersion="3" recordCount="0" supportSubquery="1" supportAdvancedDrill="1">
  <cacheSource type="external" connectionId="1"/>
  <cacheFields count="2">
    <cacheField name="[Table2].[Product Category].[Product Category]" caption="Product Category" numFmtId="0" hierarchy="5" level="1">
      <sharedItems count="3">
        <s v="Beauty"/>
        <s v="Clothing"/>
        <s v="Electronics"/>
      </sharedItems>
    </cacheField>
    <cacheField name="[Measures].[Sum of Quantity]" caption="Sum of Quantity" numFmtId="0" hierarchy="14" level="32767"/>
  </cacheFields>
  <cacheHierarchies count="17">
    <cacheHierarchy uniqueName="[Table2].[Transaction ID]" caption="Transaction ID" attribute="1" defaultMemberUniqueName="[Table2].[Transaction ID].[All]" allUniqueName="[Table2].[Transaction ID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Product Category]" caption="Product Category" attribute="1" defaultMemberUniqueName="[Table2].[Product Category].[All]" allUniqueName="[Table2].[Product 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Price per Unit]" caption="Price per Unit" attribute="1" defaultMemberUniqueName="[Table2].[Price per Unit].[All]" allUniqueName="[Table2].[Price per Unit].[All]" dimensionUniqueName="[Table2]" displayFolder="" count="0" memberValueDatatype="20" unbalanced="0"/>
    <cacheHierarchy uniqueName="[Table2].[Total Amount]" caption="Total Amount" attribute="1" defaultMemberUniqueName="[Table2].[Total Amount].[All]" allUniqueName="[Table2].[Total Amount].[All]" dimensionUniqueName="[Table2]" displayFolder="" count="0" memberValueDatatype="20" unbalanced="0"/>
    <cacheHierarchy uniqueName="[Table2].[Calculated Total]" caption="Calculated Total" attribute="1" defaultMemberUniqueName="[Table2].[Calculated Total].[All]" allUniqueName="[Table2].[Calculated Total].[All]" dimensionUniqueName="[Table2]" displayFolder="" count="0" memberValueDatatype="20" unbalanced="0"/>
    <cacheHierarchy uniqueName="[Table2].[Amount Check]" caption="Amount Check" attribute="1" defaultMemberUniqueName="[Table2].[Amount Check].[All]" allUniqueName="[Table2].[Amount Check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ge]" caption="Sum of Ag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ge]" caption="Average of Ag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dmin" refreshedDate="46207.271744328704" backgroundQuery="1" createdVersion="6" refreshedVersion="6" minRefreshableVersion="3" recordCount="0" supportSubquery="1" supportAdvancedDrill="1">
  <cacheSource type="external" connectionId="1"/>
  <cacheFields count="2">
    <cacheField name="[Table2].[Gender].[Gender]" caption="Gender" numFmtId="0" hierarchy="3" level="1">
      <sharedItems count="2">
        <s v="Female"/>
        <s v="Male"/>
      </sharedItems>
    </cacheField>
    <cacheField name="[Measures].[Sum of Total Amount]" caption="Sum of Total Amount" numFmtId="0" hierarchy="13" level="32767"/>
  </cacheFields>
  <cacheHierarchies count="17">
    <cacheHierarchy uniqueName="[Table2].[Transaction ID]" caption="Transaction ID" attribute="1" defaultMemberUniqueName="[Table2].[Transaction ID].[All]" allUniqueName="[Table2].[Transaction ID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Product Category]" caption="Product Category" attribute="1" defaultMemberUniqueName="[Table2].[Product Category].[All]" allUniqueName="[Table2].[Product Category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Price per Unit]" caption="Price per Unit" attribute="1" defaultMemberUniqueName="[Table2].[Price per Unit].[All]" allUniqueName="[Table2].[Price per Unit].[All]" dimensionUniqueName="[Table2]" displayFolder="" count="0" memberValueDatatype="20" unbalanced="0"/>
    <cacheHierarchy uniqueName="[Table2].[Total Amount]" caption="Total Amount" attribute="1" defaultMemberUniqueName="[Table2].[Total Amount].[All]" allUniqueName="[Table2].[Total Amount].[All]" dimensionUniqueName="[Table2]" displayFolder="" count="0" memberValueDatatype="20" unbalanced="0"/>
    <cacheHierarchy uniqueName="[Table2].[Calculated Total]" caption="Calculated Total" attribute="1" defaultMemberUniqueName="[Table2].[Calculated Total].[All]" allUniqueName="[Table2].[Calculated Total].[All]" dimensionUniqueName="[Table2]" displayFolder="" count="0" memberValueDatatype="20" unbalanced="0"/>
    <cacheHierarchy uniqueName="[Table2].[Amount Check]" caption="Amount Check" attribute="1" defaultMemberUniqueName="[Table2].[Amount Check].[All]" allUniqueName="[Table2].[Amount Check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ge]" caption="Sum of Ag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ge]" caption="Average of Ag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dmin" refreshedDate="46207.271435532406" backgroundQuery="1" createdVersion="6" refreshedVersion="6" minRefreshableVersion="3" recordCount="0" supportSubquery="1" supportAdvancedDrill="1">
  <cacheSource type="external" connectionId="1"/>
  <cacheFields count="2">
    <cacheField name="[Table2].[Product Category].[Product Category]" caption="Product Category" numFmtId="0" hierarchy="5" level="1">
      <sharedItems count="3">
        <s v="Beauty"/>
        <s v="Clothing"/>
        <s v="Electronics"/>
      </sharedItems>
    </cacheField>
    <cacheField name="[Measures].[Sum of Total Amount]" caption="Sum of Total Amount" numFmtId="0" hierarchy="13" level="32767"/>
  </cacheFields>
  <cacheHierarchies count="17">
    <cacheHierarchy uniqueName="[Table2].[Transaction ID]" caption="Transaction ID" attribute="1" defaultMemberUniqueName="[Table2].[Transaction ID].[All]" allUniqueName="[Table2].[Transaction ID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Product Category]" caption="Product Category" attribute="1" defaultMemberUniqueName="[Table2].[Product Category].[All]" allUniqueName="[Table2].[Product 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Price per Unit]" caption="Price per Unit" attribute="1" defaultMemberUniqueName="[Table2].[Price per Unit].[All]" allUniqueName="[Table2].[Price per Unit].[All]" dimensionUniqueName="[Table2]" displayFolder="" count="0" memberValueDatatype="20" unbalanced="0"/>
    <cacheHierarchy uniqueName="[Table2].[Total Amount]" caption="Total Amount" attribute="1" defaultMemberUniqueName="[Table2].[Total Amount].[All]" allUniqueName="[Table2].[Total Amount].[All]" dimensionUniqueName="[Table2]" displayFolder="" count="0" memberValueDatatype="20" unbalanced="0"/>
    <cacheHierarchy uniqueName="[Table2].[Calculated Total]" caption="Calculated Total" attribute="1" defaultMemberUniqueName="[Table2].[Calculated Total].[All]" allUniqueName="[Table2].[Calculated Total].[All]" dimensionUniqueName="[Table2]" displayFolder="" count="0" memberValueDatatype="20" unbalanced="0"/>
    <cacheHierarchy uniqueName="[Table2].[Amount Check]" caption="Amount Check" attribute="1" defaultMemberUniqueName="[Table2].[Amount Check].[All]" allUniqueName="[Table2].[Amount Check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ge]" caption="Sum of Ag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ge]" caption="Average of Age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 Category">
  <location ref="N7:O11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1" subtotal="average" baseField="0" baseItem="0"/>
  </dataFields>
  <formats count="29">
    <format dxfId="28">
      <pivotArea collapsedLevelsAreSubtotals="1" fieldPosition="0">
        <references count="1">
          <reference field="0" count="1">
            <x v="0"/>
          </reference>
        </references>
      </pivotArea>
    </format>
    <format dxfId="27">
      <pivotArea collapsedLevelsAreSubtotals="1" fieldPosition="0">
        <references count="1">
          <reference field="0" count="1">
            <x v="0"/>
          </reference>
        </references>
      </pivotArea>
    </format>
    <format dxfId="26">
      <pivotArea collapsedLevelsAreSubtotals="1" fieldPosition="0">
        <references count="1">
          <reference field="0" count="1">
            <x v="0"/>
          </reference>
        </references>
      </pivotArea>
    </format>
    <format dxfId="25">
      <pivotArea collapsedLevelsAreSubtotals="1" fieldPosition="0">
        <references count="1">
          <reference field="0" count="1">
            <x v="0"/>
          </reference>
        </references>
      </pivotArea>
    </format>
    <format dxfId="24">
      <pivotArea collapsedLevelsAreSubtotals="1" fieldPosition="0">
        <references count="1">
          <reference field="0" count="1">
            <x v="0"/>
          </reference>
        </references>
      </pivotArea>
    </format>
    <format dxfId="23">
      <pivotArea collapsedLevelsAreSubtotals="1" fieldPosition="0">
        <references count="1">
          <reference field="0" count="1">
            <x v="0"/>
          </reference>
        </references>
      </pivotArea>
    </format>
    <format dxfId="22">
      <pivotArea collapsedLevelsAreSubtotals="1" fieldPosition="0">
        <references count="1">
          <reference field="0" count="1">
            <x v="0"/>
          </reference>
        </references>
      </pivotArea>
    </format>
    <format dxfId="21">
      <pivotArea collapsedLevelsAreSubtotals="1" fieldPosition="0">
        <references count="1">
          <reference field="0" count="1">
            <x v="0"/>
          </reference>
        </references>
      </pivotArea>
    </format>
    <format dxfId="20">
      <pivotArea collapsedLevelsAreSubtotals="1" fieldPosition="0">
        <references count="1">
          <reference field="0" count="1">
            <x v="0"/>
          </reference>
        </references>
      </pivotArea>
    </format>
    <format dxfId="19">
      <pivotArea collapsedLevelsAreSubtotals="1" fieldPosition="0">
        <references count="1">
          <reference field="0" count="1">
            <x v="1"/>
          </reference>
        </references>
      </pivotArea>
    </format>
    <format dxfId="18">
      <pivotArea collapsedLevelsAreSubtotals="1" fieldPosition="0">
        <references count="1">
          <reference field="0" count="1">
            <x v="1"/>
          </reference>
        </references>
      </pivotArea>
    </format>
    <format dxfId="17">
      <pivotArea collapsedLevelsAreSubtotals="1" fieldPosition="0">
        <references count="1">
          <reference field="0" count="1">
            <x v="1"/>
          </reference>
        </references>
      </pivotArea>
    </format>
    <format dxfId="16">
      <pivotArea collapsedLevelsAreSubtotals="1" fieldPosition="0">
        <references count="1">
          <reference field="0" count="1">
            <x v="1"/>
          </reference>
        </references>
      </pivotArea>
    </format>
    <format dxfId="15">
      <pivotArea collapsedLevelsAreSubtotals="1" fieldPosition="0">
        <references count="1">
          <reference field="0" count="1">
            <x v="1"/>
          </reference>
        </references>
      </pivotArea>
    </format>
    <format dxfId="14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collapsedLevelsAreSubtotals="1" fieldPosition="0">
        <references count="1">
          <reference field="0" count="1">
            <x v="2"/>
          </reference>
        </references>
      </pivotArea>
    </format>
    <format dxfId="12">
      <pivotArea collapsedLevelsAreSubtotals="1" fieldPosition="0">
        <references count="1">
          <reference field="0" count="1">
            <x v="2"/>
          </reference>
        </references>
      </pivotArea>
    </format>
    <format dxfId="11">
      <pivotArea collapsedLevelsAreSubtotals="1" fieldPosition="0">
        <references count="1">
          <reference field="0" count="1">
            <x v="2"/>
          </reference>
        </references>
      </pivotArea>
    </format>
    <format dxfId="10">
      <pivotArea collapsedLevelsAreSubtotals="1" fieldPosition="0">
        <references count="1">
          <reference field="0" count="1">
            <x v="2"/>
          </reference>
        </references>
      </pivotArea>
    </format>
    <format dxfId="9">
      <pivotArea collapsedLevelsAreSubtotals="1" fieldPosition="0">
        <references count="1">
          <reference field="0" count="1">
            <x v="2"/>
          </reference>
        </references>
      </pivotArea>
    </format>
    <format dxfId="8">
      <pivotArea collapsedLevelsAreSubtotals="1" fieldPosition="0">
        <references count="1">
          <reference field="0" count="1">
            <x v="2"/>
          </reference>
        </references>
      </pivotArea>
    </format>
    <format dxfId="7">
      <pivotArea grandRow="1" outline="0" collapsedLevelsAreSubtotals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Age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1.xlsx!Table2">
        <x15:activeTabTopLevelEntity name="[Table2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 Category">
  <location ref="J7:K11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" baseField="0" baseItem="0"/>
  </dataFields>
  <formats count="7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1.xlsx!Table2">
        <x15:activeTabTopLevelEntity name="[Table2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ender">
  <location ref="F7:G10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 Amount" fld="1" baseField="0" baseItem="0"/>
  </dataFields>
  <formats count="7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outline="0" axis="axisValues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1.xlsx!Table2">
        <x15:activeTabTopLevelEntity name="[Table2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 Category">
  <location ref="B7:C11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" baseField="0" baseItem="0"/>
  </dataFields>
  <formats count="6">
    <format dxfId="48">
      <pivotArea outline="0" collapsedLevelsAreSubtotals="1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field="0" type="button" dataOnly="0" labelOnly="1" outline="0" axis="axisRow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 1.xlsx!Table2">
        <x15:activeTabTopLevelEntity name="[Table2]"/>
      </x15:pivotTableUISettings>
    </ext>
  </extLst>
</pivotTableDefinition>
</file>

<file path=xl/tables/table1.xml><?xml version="1.0" encoding="utf-8"?>
<table xmlns="http://schemas.openxmlformats.org/spreadsheetml/2006/main" id="2" name="Table2" displayName="Table2" ref="A1:K1001" totalsRowShown="0" headerRowDxfId="54">
  <autoFilter ref="A1:K1001"/>
  <tableColumns count="11">
    <tableColumn id="1" name="Transaction ID"/>
    <tableColumn id="2" name="Date" dataDxfId="53"/>
    <tableColumn id="3" name="Customer ID"/>
    <tableColumn id="4" name="Gender"/>
    <tableColumn id="5" name="Age"/>
    <tableColumn id="6" name="Product Category"/>
    <tableColumn id="7" name="Quantity"/>
    <tableColumn id="8" name="Price per Unit" dataDxfId="52"/>
    <tableColumn id="9" name="Total Amount" dataDxfId="51"/>
    <tableColumn id="10" name="Calculated Total" dataDxfId="50">
      <calculatedColumnFormula>G:G*H:H</calculatedColumnFormula>
    </tableColumn>
    <tableColumn id="11" name="Amount Check" dataDxfId="49">
      <calculatedColumnFormula>IF(Table2[[#This Row],[Calculated Total]]=Table2[[#This Row],[Total Amount]],"Correct","Check")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topLeftCell="A2" workbookViewId="0">
      <selection activeCell="L21" sqref="L21"/>
    </sheetView>
  </sheetViews>
  <sheetFormatPr defaultRowHeight="15" x14ac:dyDescent="0.25"/>
  <cols>
    <col min="7" max="7" width="9.7109375" customWidth="1"/>
  </cols>
  <sheetData>
    <row r="3" spans="2:8" x14ac:dyDescent="0.25">
      <c r="B3" s="19" t="s">
        <v>1014</v>
      </c>
      <c r="C3" s="19"/>
      <c r="D3" s="19"/>
      <c r="E3" s="19"/>
    </row>
    <row r="4" spans="2:8" x14ac:dyDescent="0.25">
      <c r="B4" s="19">
        <v>1001</v>
      </c>
      <c r="C4" s="19"/>
      <c r="D4" s="19"/>
      <c r="E4" s="19"/>
    </row>
    <row r="6" spans="2:8" x14ac:dyDescent="0.25">
      <c r="B6" s="19" t="s">
        <v>1015</v>
      </c>
      <c r="C6" s="19"/>
      <c r="D6" s="19"/>
      <c r="E6" s="19"/>
    </row>
    <row r="7" spans="2:8" x14ac:dyDescent="0.25">
      <c r="B7" s="19">
        <v>9</v>
      </c>
      <c r="C7" s="19"/>
      <c r="D7" s="19"/>
      <c r="E7" s="19"/>
    </row>
    <row r="9" spans="2:8" x14ac:dyDescent="0.25">
      <c r="B9" s="3" t="s">
        <v>1016</v>
      </c>
      <c r="C9" s="3"/>
      <c r="D9" s="3"/>
      <c r="E9" s="3"/>
      <c r="F9" s="4"/>
    </row>
    <row r="10" spans="2:8" x14ac:dyDescent="0.25">
      <c r="B10" s="19" t="s">
        <v>1017</v>
      </c>
      <c r="C10" s="19"/>
      <c r="D10" s="19"/>
      <c r="E10" s="19"/>
      <c r="F10" s="19"/>
    </row>
    <row r="12" spans="2:8" x14ac:dyDescent="0.25">
      <c r="B12" s="19" t="s">
        <v>1018</v>
      </c>
      <c r="C12" s="19"/>
      <c r="D12" s="19"/>
      <c r="E12" s="19"/>
      <c r="F12" s="19"/>
      <c r="G12" s="19"/>
      <c r="H12" s="2"/>
    </row>
    <row r="13" spans="2:8" x14ac:dyDescent="0.25">
      <c r="B13" s="19" t="s">
        <v>1017</v>
      </c>
      <c r="C13" s="19"/>
      <c r="D13" s="19"/>
      <c r="E13" s="19"/>
      <c r="F13" s="19"/>
      <c r="G13" s="19"/>
      <c r="H13" s="2"/>
    </row>
    <row r="15" spans="2:8" x14ac:dyDescent="0.25">
      <c r="B15" s="19" t="s">
        <v>1019</v>
      </c>
      <c r="C15" s="19"/>
      <c r="D15" s="19"/>
      <c r="E15" s="19"/>
      <c r="F15" s="19"/>
      <c r="G15" s="19"/>
    </row>
    <row r="16" spans="2:8" x14ac:dyDescent="0.25">
      <c r="B16" s="19" t="s">
        <v>1017</v>
      </c>
      <c r="C16" s="19"/>
      <c r="D16" s="19"/>
      <c r="E16" s="19"/>
      <c r="F16" s="19"/>
      <c r="G16" s="19"/>
    </row>
    <row r="18" spans="2:8" x14ac:dyDescent="0.25">
      <c r="B18" s="19" t="s">
        <v>1020</v>
      </c>
      <c r="C18" s="19"/>
      <c r="D18" s="19"/>
      <c r="E18" s="19"/>
      <c r="F18" s="19"/>
      <c r="G18" s="19"/>
      <c r="H18" s="19"/>
    </row>
    <row r="19" spans="2:8" x14ac:dyDescent="0.25">
      <c r="B19" s="19" t="s">
        <v>1021</v>
      </c>
      <c r="C19" s="19"/>
      <c r="D19" s="19"/>
      <c r="E19" s="19"/>
      <c r="F19" s="19"/>
      <c r="G19" s="19"/>
      <c r="H19" s="19"/>
    </row>
    <row r="21" spans="2:8" x14ac:dyDescent="0.25">
      <c r="B21" s="19" t="s">
        <v>1022</v>
      </c>
      <c r="C21" s="19"/>
      <c r="D21" s="19"/>
      <c r="E21" s="19"/>
      <c r="F21" s="19"/>
      <c r="G21" s="19"/>
    </row>
    <row r="22" spans="2:8" x14ac:dyDescent="0.25">
      <c r="B22" s="19" t="s">
        <v>1023</v>
      </c>
      <c r="C22" s="19"/>
      <c r="D22" s="19"/>
      <c r="E22" s="19" t="s">
        <v>1024</v>
      </c>
      <c r="F22" s="19"/>
      <c r="G22" s="19"/>
    </row>
  </sheetData>
  <mergeCells count="14">
    <mergeCell ref="B19:H19"/>
    <mergeCell ref="B21:G21"/>
    <mergeCell ref="B22:D22"/>
    <mergeCell ref="E22:G22"/>
    <mergeCell ref="B13:G13"/>
    <mergeCell ref="B12:G12"/>
    <mergeCell ref="B15:G15"/>
    <mergeCell ref="B16:G16"/>
    <mergeCell ref="B18:H18"/>
    <mergeCell ref="B3:E3"/>
    <mergeCell ref="B4:E4"/>
    <mergeCell ref="B6:E6"/>
    <mergeCell ref="B7:E7"/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I15" sqref="I15"/>
    </sheetView>
  </sheetViews>
  <sheetFormatPr defaultRowHeight="15" x14ac:dyDescent="0.25"/>
  <sheetData>
    <row r="2" spans="2:6" x14ac:dyDescent="0.25">
      <c r="B2" s="19" t="s">
        <v>1025</v>
      </c>
      <c r="C2" s="19"/>
      <c r="D2" s="19"/>
      <c r="E2" s="19"/>
      <c r="F2" s="19"/>
    </row>
    <row r="3" spans="2:6" x14ac:dyDescent="0.25">
      <c r="B3" s="19" t="s">
        <v>1026</v>
      </c>
      <c r="C3" s="19"/>
      <c r="D3" s="19"/>
      <c r="E3" s="19"/>
      <c r="F3" s="19"/>
    </row>
    <row r="5" spans="2:6" x14ac:dyDescent="0.25">
      <c r="B5" s="20" t="s">
        <v>1027</v>
      </c>
      <c r="C5" s="19"/>
      <c r="D5" s="19"/>
      <c r="E5" s="19"/>
      <c r="F5" s="19"/>
    </row>
    <row r="6" spans="2:6" x14ac:dyDescent="0.25">
      <c r="B6" s="19" t="s">
        <v>1026</v>
      </c>
      <c r="C6" s="19"/>
      <c r="D6" s="19"/>
      <c r="E6" s="19"/>
      <c r="F6" s="19"/>
    </row>
    <row r="8" spans="2:6" x14ac:dyDescent="0.25">
      <c r="B8" s="19" t="s">
        <v>1028</v>
      </c>
      <c r="C8" s="19"/>
      <c r="D8" s="19"/>
      <c r="E8" s="19"/>
      <c r="F8" s="19"/>
    </row>
    <row r="9" spans="2:6" x14ac:dyDescent="0.25">
      <c r="B9" s="19" t="s">
        <v>1029</v>
      </c>
      <c r="C9" s="19"/>
      <c r="D9" s="19"/>
      <c r="E9" s="19"/>
      <c r="F9" s="19"/>
    </row>
    <row r="11" spans="2:6" x14ac:dyDescent="0.25">
      <c r="B11" s="19" t="s">
        <v>1030</v>
      </c>
      <c r="C11" s="19"/>
      <c r="D11" s="19"/>
      <c r="E11" s="19"/>
      <c r="F11" s="19"/>
    </row>
    <row r="12" spans="2:6" x14ac:dyDescent="0.25">
      <c r="B12" s="19" t="s">
        <v>1029</v>
      </c>
      <c r="C12" s="19"/>
      <c r="D12" s="19"/>
      <c r="E12" s="19"/>
      <c r="F12" s="19"/>
    </row>
    <row r="14" spans="2:6" x14ac:dyDescent="0.25">
      <c r="B14" s="19" t="s">
        <v>1031</v>
      </c>
      <c r="C14" s="19"/>
      <c r="D14" s="19"/>
      <c r="E14" s="19"/>
      <c r="F14" s="19"/>
    </row>
    <row r="15" spans="2:6" x14ac:dyDescent="0.25">
      <c r="B15" s="19" t="s">
        <v>1034</v>
      </c>
      <c r="C15" s="19"/>
      <c r="D15" s="19"/>
      <c r="E15" s="19"/>
      <c r="F15" s="19"/>
    </row>
  </sheetData>
  <mergeCells count="10">
    <mergeCell ref="B9:F9"/>
    <mergeCell ref="B11:F11"/>
    <mergeCell ref="B12:F12"/>
    <mergeCell ref="B14:F14"/>
    <mergeCell ref="B15:F15"/>
    <mergeCell ref="B3:F3"/>
    <mergeCell ref="B2:F2"/>
    <mergeCell ref="B5:F5"/>
    <mergeCell ref="B6:F6"/>
    <mergeCell ref="B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5.85546875" bestFit="1" customWidth="1"/>
    <col min="2" max="2" width="10.7109375" style="1" bestFit="1" customWidth="1"/>
    <col min="3" max="3" width="14.140625" bestFit="1" customWidth="1"/>
    <col min="4" max="4" width="10" bestFit="1" customWidth="1"/>
    <col min="5" max="5" width="6.7109375" bestFit="1" customWidth="1"/>
    <col min="6" max="6" width="18.5703125" bestFit="1" customWidth="1"/>
    <col min="7" max="7" width="11" bestFit="1" customWidth="1"/>
    <col min="8" max="8" width="15.5703125" style="8" bestFit="1" customWidth="1"/>
    <col min="9" max="9" width="15.42578125" style="8" bestFit="1" customWidth="1"/>
    <col min="10" max="10" width="17" customWidth="1"/>
    <col min="11" max="11" width="16.28515625" bestFit="1" customWidth="1"/>
  </cols>
  <sheetData>
    <row r="1" spans="1:12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5" t="s">
        <v>1032</v>
      </c>
      <c r="K1" s="5" t="s">
        <v>1033</v>
      </c>
    </row>
    <row r="2" spans="1:12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8">
        <v>50</v>
      </c>
      <c r="I2" s="8">
        <v>150</v>
      </c>
      <c r="J2">
        <f t="shared" ref="J2:J65" si="0">G:G*H:H</f>
        <v>150</v>
      </c>
      <c r="K2" t="str">
        <f>IF(Table2[[#This Row],[Calculated Total]]=Table2[[#This Row],[Total Amount]],"Correct","Check")</f>
        <v>Correct</v>
      </c>
    </row>
    <row r="3" spans="1:12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8">
        <v>500</v>
      </c>
      <c r="I3" s="8">
        <v>1000</v>
      </c>
      <c r="J3">
        <f t="shared" si="0"/>
        <v>1000</v>
      </c>
      <c r="K3" t="str">
        <f>IF(Table2[[#This Row],[Calculated Total]]=Table2[[#This Row],[Total Amount]],"Correct","Check")</f>
        <v>Correct</v>
      </c>
    </row>
    <row r="4" spans="1:12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8">
        <v>30</v>
      </c>
      <c r="I4" s="8">
        <v>30</v>
      </c>
      <c r="J4">
        <f t="shared" si="0"/>
        <v>30</v>
      </c>
      <c r="K4" t="str">
        <f>IF(Table2[[#This Row],[Calculated Total]]=Table2[[#This Row],[Total Amount]],"Correct","Check")</f>
        <v>Correct</v>
      </c>
    </row>
    <row r="5" spans="1:12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8">
        <v>500</v>
      </c>
      <c r="I5" s="8">
        <v>500</v>
      </c>
      <c r="J5">
        <f t="shared" si="0"/>
        <v>500</v>
      </c>
      <c r="K5" t="str">
        <f>IF(Table2[[#This Row],[Calculated Total]]=Table2[[#This Row],[Total Amount]],"Correct","Check")</f>
        <v>Correct</v>
      </c>
    </row>
    <row r="6" spans="1:12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8">
        <v>50</v>
      </c>
      <c r="I6" s="8">
        <v>100</v>
      </c>
      <c r="J6">
        <f t="shared" si="0"/>
        <v>100</v>
      </c>
      <c r="K6" t="str">
        <f>IF(Table2[[#This Row],[Calculated Total]]=Table2[[#This Row],[Total Amount]],"Correct","Check")</f>
        <v>Correct</v>
      </c>
    </row>
    <row r="7" spans="1:12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8">
        <v>30</v>
      </c>
      <c r="I7" s="8">
        <v>30</v>
      </c>
      <c r="J7">
        <f t="shared" si="0"/>
        <v>30</v>
      </c>
      <c r="K7" t="str">
        <f>IF(Table2[[#This Row],[Calculated Total]]=Table2[[#This Row],[Total Amount]],"Correct","Check")</f>
        <v>Correct</v>
      </c>
    </row>
    <row r="8" spans="1:12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8">
        <v>25</v>
      </c>
      <c r="I8" s="8">
        <v>50</v>
      </c>
      <c r="J8">
        <f t="shared" si="0"/>
        <v>50</v>
      </c>
      <c r="K8" t="str">
        <f>IF(Table2[[#This Row],[Calculated Total]]=Table2[[#This Row],[Total Amount]],"Correct","Check")</f>
        <v>Correct</v>
      </c>
    </row>
    <row r="9" spans="1:12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8">
        <v>25</v>
      </c>
      <c r="I9" s="8">
        <v>100</v>
      </c>
      <c r="J9">
        <f t="shared" si="0"/>
        <v>100</v>
      </c>
      <c r="K9" t="str">
        <f>IF(Table2[[#This Row],[Calculated Total]]=Table2[[#This Row],[Total Amount]],"Correct","Check")</f>
        <v>Correct</v>
      </c>
    </row>
    <row r="10" spans="1:12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8">
        <v>300</v>
      </c>
      <c r="I10" s="8">
        <v>600</v>
      </c>
      <c r="J10">
        <f t="shared" si="0"/>
        <v>600</v>
      </c>
      <c r="K10" t="str">
        <f>IF(Table2[[#This Row],[Calculated Total]]=Table2[[#This Row],[Total Amount]],"Correct","Check")</f>
        <v>Correct</v>
      </c>
    </row>
    <row r="11" spans="1:12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8">
        <v>50</v>
      </c>
      <c r="I11" s="8">
        <v>200</v>
      </c>
      <c r="J11">
        <f t="shared" si="0"/>
        <v>200</v>
      </c>
      <c r="K11" s="2" t="str">
        <f>IF(Table2[[#This Row],[Calculated Total]]=Table2[[#This Row],[Total Amount]],"Correct","Check")</f>
        <v>Correct</v>
      </c>
      <c r="L11" s="2"/>
    </row>
    <row r="12" spans="1:12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8">
        <v>50</v>
      </c>
      <c r="I12" s="8">
        <v>100</v>
      </c>
      <c r="J12">
        <f t="shared" si="0"/>
        <v>100</v>
      </c>
      <c r="K12" s="2" t="str">
        <f>IF(Table2[[#This Row],[Calculated Total]]=Table2[[#This Row],[Total Amount]],"Correct","Check")</f>
        <v>Correct</v>
      </c>
      <c r="L12" s="2"/>
    </row>
    <row r="13" spans="1:12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8">
        <v>25</v>
      </c>
      <c r="I13" s="8">
        <v>75</v>
      </c>
      <c r="J13">
        <f t="shared" si="0"/>
        <v>75</v>
      </c>
      <c r="K13" t="str">
        <f>IF(Table2[[#This Row],[Calculated Total]]=Table2[[#This Row],[Total Amount]],"Correct","Check")</f>
        <v>Correct</v>
      </c>
    </row>
    <row r="14" spans="1:12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8">
        <v>500</v>
      </c>
      <c r="I14" s="8">
        <v>1500</v>
      </c>
      <c r="J14">
        <f t="shared" si="0"/>
        <v>1500</v>
      </c>
      <c r="K14" s="2" t="str">
        <f>IF(Table2[[#This Row],[Calculated Total]]=Table2[[#This Row],[Total Amount]],"Correct","Check")</f>
        <v>Correct</v>
      </c>
      <c r="L14" s="2"/>
    </row>
    <row r="15" spans="1:12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8">
        <v>30</v>
      </c>
      <c r="I15" s="8">
        <v>120</v>
      </c>
      <c r="J15">
        <f t="shared" si="0"/>
        <v>120</v>
      </c>
      <c r="K15" s="2" t="str">
        <f>IF(Table2[[#This Row],[Calculated Total]]=Table2[[#This Row],[Total Amount]],"Correct","Check")</f>
        <v>Correct</v>
      </c>
      <c r="L15" s="2"/>
    </row>
    <row r="16" spans="1:12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8">
        <v>500</v>
      </c>
      <c r="I16" s="8">
        <v>2000</v>
      </c>
      <c r="J16">
        <f t="shared" si="0"/>
        <v>2000</v>
      </c>
      <c r="K16" t="str">
        <f>IF(Table2[[#This Row],[Calculated Total]]=Table2[[#This Row],[Total Amount]],"Correct","Check")</f>
        <v>Correct</v>
      </c>
    </row>
    <row r="17" spans="1:11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8">
        <v>500</v>
      </c>
      <c r="I17" s="8">
        <v>1500</v>
      </c>
      <c r="J17">
        <f t="shared" si="0"/>
        <v>1500</v>
      </c>
      <c r="K17" t="str">
        <f>IF(Table2[[#This Row],[Calculated Total]]=Table2[[#This Row],[Total Amount]],"Correct","Check")</f>
        <v>Correct</v>
      </c>
    </row>
    <row r="18" spans="1:11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8">
        <v>25</v>
      </c>
      <c r="I18" s="8">
        <v>100</v>
      </c>
      <c r="J18">
        <f t="shared" si="0"/>
        <v>100</v>
      </c>
      <c r="K18" t="str">
        <f>IF(Table2[[#This Row],[Calculated Total]]=Table2[[#This Row],[Total Amount]],"Correct","Check")</f>
        <v>Correct</v>
      </c>
    </row>
    <row r="19" spans="1:11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8">
        <v>25</v>
      </c>
      <c r="I19" s="8">
        <v>50</v>
      </c>
      <c r="J19">
        <f t="shared" si="0"/>
        <v>50</v>
      </c>
      <c r="K19" t="str">
        <f>IF(Table2[[#This Row],[Calculated Total]]=Table2[[#This Row],[Total Amount]],"Correct","Check")</f>
        <v>Correct</v>
      </c>
    </row>
    <row r="20" spans="1:11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8">
        <v>25</v>
      </c>
      <c r="I20" s="8">
        <v>50</v>
      </c>
      <c r="J20">
        <f t="shared" si="0"/>
        <v>50</v>
      </c>
      <c r="K20" t="str">
        <f>IF(Table2[[#This Row],[Calculated Total]]=Table2[[#This Row],[Total Amount]],"Correct","Check")</f>
        <v>Correct</v>
      </c>
    </row>
    <row r="21" spans="1:11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8">
        <v>300</v>
      </c>
      <c r="I21" s="8">
        <v>900</v>
      </c>
      <c r="J21">
        <f t="shared" si="0"/>
        <v>900</v>
      </c>
      <c r="K21" t="str">
        <f>IF(Table2[[#This Row],[Calculated Total]]=Table2[[#This Row],[Total Amount]],"Correct","Check")</f>
        <v>Correct</v>
      </c>
    </row>
    <row r="22" spans="1:11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8">
        <v>500</v>
      </c>
      <c r="I22" s="8">
        <v>500</v>
      </c>
      <c r="J22">
        <f t="shared" si="0"/>
        <v>500</v>
      </c>
      <c r="K22" t="str">
        <f>IF(Table2[[#This Row],[Calculated Total]]=Table2[[#This Row],[Total Amount]],"Correct","Check")</f>
        <v>Correct</v>
      </c>
    </row>
    <row r="23" spans="1:11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8">
        <v>50</v>
      </c>
      <c r="I23" s="8">
        <v>100</v>
      </c>
      <c r="J23">
        <f t="shared" si="0"/>
        <v>100</v>
      </c>
      <c r="K23" t="str">
        <f>IF(Table2[[#This Row],[Calculated Total]]=Table2[[#This Row],[Total Amount]],"Correct","Check")</f>
        <v>Correct</v>
      </c>
    </row>
    <row r="24" spans="1:11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8">
        <v>30</v>
      </c>
      <c r="I24" s="8">
        <v>120</v>
      </c>
      <c r="J24">
        <f t="shared" si="0"/>
        <v>120</v>
      </c>
      <c r="K24" t="str">
        <f>IF(Table2[[#This Row],[Calculated Total]]=Table2[[#This Row],[Total Amount]],"Correct","Check")</f>
        <v>Correct</v>
      </c>
    </row>
    <row r="25" spans="1:11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8">
        <v>300</v>
      </c>
      <c r="I25" s="8">
        <v>300</v>
      </c>
      <c r="J25">
        <f t="shared" si="0"/>
        <v>300</v>
      </c>
      <c r="K25" t="str">
        <f>IF(Table2[[#This Row],[Calculated Total]]=Table2[[#This Row],[Total Amount]],"Correct","Check")</f>
        <v>Correct</v>
      </c>
    </row>
    <row r="26" spans="1:11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8">
        <v>50</v>
      </c>
      <c r="I26" s="8">
        <v>50</v>
      </c>
      <c r="J26">
        <f t="shared" si="0"/>
        <v>50</v>
      </c>
      <c r="K26" t="str">
        <f>IF(Table2[[#This Row],[Calculated Total]]=Table2[[#This Row],[Total Amount]],"Correct","Check")</f>
        <v>Correct</v>
      </c>
    </row>
    <row r="27" spans="1:11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8">
        <v>500</v>
      </c>
      <c r="I27" s="8">
        <v>1000</v>
      </c>
      <c r="J27">
        <f t="shared" si="0"/>
        <v>1000</v>
      </c>
      <c r="K27" t="str">
        <f>IF(Table2[[#This Row],[Calculated Total]]=Table2[[#This Row],[Total Amount]],"Correct","Check")</f>
        <v>Correct</v>
      </c>
    </row>
    <row r="28" spans="1:11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8">
        <v>25</v>
      </c>
      <c r="I28" s="8">
        <v>50</v>
      </c>
      <c r="J28">
        <f t="shared" si="0"/>
        <v>50</v>
      </c>
      <c r="K28" t="str">
        <f>IF(Table2[[#This Row],[Calculated Total]]=Table2[[#This Row],[Total Amount]],"Correct","Check")</f>
        <v>Correct</v>
      </c>
    </row>
    <row r="29" spans="1:11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8">
        <v>500</v>
      </c>
      <c r="I29" s="8">
        <v>500</v>
      </c>
      <c r="J29">
        <f t="shared" si="0"/>
        <v>500</v>
      </c>
      <c r="K29" t="str">
        <f>IF(Table2[[#This Row],[Calculated Total]]=Table2[[#This Row],[Total Amount]],"Correct","Check")</f>
        <v>Correct</v>
      </c>
    </row>
    <row r="30" spans="1:11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8">
        <v>30</v>
      </c>
      <c r="I30" s="8">
        <v>30</v>
      </c>
      <c r="J30">
        <f t="shared" si="0"/>
        <v>30</v>
      </c>
      <c r="K30" t="str">
        <f>IF(Table2[[#This Row],[Calculated Total]]=Table2[[#This Row],[Total Amount]],"Correct","Check")</f>
        <v>Correct</v>
      </c>
    </row>
    <row r="31" spans="1:11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8">
        <v>300</v>
      </c>
      <c r="I31" s="8">
        <v>900</v>
      </c>
      <c r="J31">
        <f t="shared" si="0"/>
        <v>900</v>
      </c>
      <c r="K31" t="str">
        <f>IF(Table2[[#This Row],[Calculated Total]]=Table2[[#This Row],[Total Amount]],"Correct","Check")</f>
        <v>Correct</v>
      </c>
    </row>
    <row r="32" spans="1:11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8">
        <v>300</v>
      </c>
      <c r="I32" s="8">
        <v>1200</v>
      </c>
      <c r="J32">
        <f t="shared" si="0"/>
        <v>1200</v>
      </c>
      <c r="K32" t="str">
        <f>IF(Table2[[#This Row],[Calculated Total]]=Table2[[#This Row],[Total Amount]],"Correct","Check")</f>
        <v>Correct</v>
      </c>
    </row>
    <row r="33" spans="1:11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8">
        <v>30</v>
      </c>
      <c r="I33" s="8">
        <v>90</v>
      </c>
      <c r="J33">
        <f t="shared" si="0"/>
        <v>90</v>
      </c>
      <c r="K33" t="str">
        <f>IF(Table2[[#This Row],[Calculated Total]]=Table2[[#This Row],[Total Amount]],"Correct","Check")</f>
        <v>Correct</v>
      </c>
    </row>
    <row r="34" spans="1:11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8">
        <v>50</v>
      </c>
      <c r="I34" s="8">
        <v>100</v>
      </c>
      <c r="J34">
        <f t="shared" si="0"/>
        <v>100</v>
      </c>
      <c r="K34" t="str">
        <f>IF(Table2[[#This Row],[Calculated Total]]=Table2[[#This Row],[Total Amount]],"Correct","Check")</f>
        <v>Correct</v>
      </c>
    </row>
    <row r="35" spans="1:11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8">
        <v>50</v>
      </c>
      <c r="I35" s="8">
        <v>150</v>
      </c>
      <c r="J35">
        <f t="shared" si="0"/>
        <v>150</v>
      </c>
      <c r="K35" t="str">
        <f>IF(Table2[[#This Row],[Calculated Total]]=Table2[[#This Row],[Total Amount]],"Correct","Check")</f>
        <v>Correct</v>
      </c>
    </row>
    <row r="36" spans="1:11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8">
        <v>300</v>
      </c>
      <c r="I36" s="8">
        <v>900</v>
      </c>
      <c r="J36">
        <f t="shared" si="0"/>
        <v>900</v>
      </c>
      <c r="K36" t="str">
        <f>IF(Table2[[#This Row],[Calculated Total]]=Table2[[#This Row],[Total Amount]],"Correct","Check")</f>
        <v>Correct</v>
      </c>
    </row>
    <row r="37" spans="1:11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8">
        <v>300</v>
      </c>
      <c r="I37" s="8">
        <v>900</v>
      </c>
      <c r="J37">
        <f t="shared" si="0"/>
        <v>900</v>
      </c>
      <c r="K37" t="str">
        <f>IF(Table2[[#This Row],[Calculated Total]]=Table2[[#This Row],[Total Amount]],"Correct","Check")</f>
        <v>Correct</v>
      </c>
    </row>
    <row r="38" spans="1:11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8">
        <v>25</v>
      </c>
      <c r="I38" s="8">
        <v>75</v>
      </c>
      <c r="J38">
        <f t="shared" si="0"/>
        <v>75</v>
      </c>
      <c r="K38" t="str">
        <f>IF(Table2[[#This Row],[Calculated Total]]=Table2[[#This Row],[Total Amount]],"Correct","Check")</f>
        <v>Correct</v>
      </c>
    </row>
    <row r="39" spans="1:11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8">
        <v>50</v>
      </c>
      <c r="I39" s="8">
        <v>200</v>
      </c>
      <c r="J39">
        <f t="shared" si="0"/>
        <v>200</v>
      </c>
      <c r="K39" t="str">
        <f>IF(Table2[[#This Row],[Calculated Total]]=Table2[[#This Row],[Total Amount]],"Correct","Check")</f>
        <v>Correct</v>
      </c>
    </row>
    <row r="40" spans="1:11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8">
        <v>30</v>
      </c>
      <c r="I40" s="8">
        <v>120</v>
      </c>
      <c r="J40">
        <f t="shared" si="0"/>
        <v>120</v>
      </c>
      <c r="K40" t="str">
        <f>IF(Table2[[#This Row],[Calculated Total]]=Table2[[#This Row],[Total Amount]],"Correct","Check")</f>
        <v>Correct</v>
      </c>
    </row>
    <row r="41" spans="1:11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8">
        <v>50</v>
      </c>
      <c r="I41" s="8">
        <v>50</v>
      </c>
      <c r="J41">
        <f t="shared" si="0"/>
        <v>50</v>
      </c>
      <c r="K41" t="str">
        <f>IF(Table2[[#This Row],[Calculated Total]]=Table2[[#This Row],[Total Amount]],"Correct","Check")</f>
        <v>Correct</v>
      </c>
    </row>
    <row r="42" spans="1:11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8">
        <v>25</v>
      </c>
      <c r="I42" s="8">
        <v>50</v>
      </c>
      <c r="J42">
        <f t="shared" si="0"/>
        <v>50</v>
      </c>
      <c r="K42" t="str">
        <f>IF(Table2[[#This Row],[Calculated Total]]=Table2[[#This Row],[Total Amount]],"Correct","Check")</f>
        <v>Correct</v>
      </c>
    </row>
    <row r="43" spans="1:11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8">
        <v>300</v>
      </c>
      <c r="I43" s="8">
        <v>900</v>
      </c>
      <c r="J43">
        <f t="shared" si="0"/>
        <v>900</v>
      </c>
      <c r="K43" t="str">
        <f>IF(Table2[[#This Row],[Calculated Total]]=Table2[[#This Row],[Total Amount]],"Correct","Check")</f>
        <v>Correct</v>
      </c>
    </row>
    <row r="44" spans="1:11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8">
        <v>300</v>
      </c>
      <c r="I44" s="8">
        <v>300</v>
      </c>
      <c r="J44">
        <f t="shared" si="0"/>
        <v>300</v>
      </c>
      <c r="K44" t="str">
        <f>IF(Table2[[#This Row],[Calculated Total]]=Table2[[#This Row],[Total Amount]],"Correct","Check")</f>
        <v>Correct</v>
      </c>
    </row>
    <row r="45" spans="1:11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8">
        <v>25</v>
      </c>
      <c r="I45" s="8">
        <v>25</v>
      </c>
      <c r="J45">
        <f t="shared" si="0"/>
        <v>25</v>
      </c>
      <c r="K45" t="str">
        <f>IF(Table2[[#This Row],[Calculated Total]]=Table2[[#This Row],[Total Amount]],"Correct","Check")</f>
        <v>Correct</v>
      </c>
    </row>
    <row r="46" spans="1:11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8">
        <v>30</v>
      </c>
      <c r="I46" s="8">
        <v>30</v>
      </c>
      <c r="J46">
        <f t="shared" si="0"/>
        <v>30</v>
      </c>
      <c r="K46" t="str">
        <f>IF(Table2[[#This Row],[Calculated Total]]=Table2[[#This Row],[Total Amount]],"Correct","Check")</f>
        <v>Correct</v>
      </c>
    </row>
    <row r="47" spans="1:11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8">
        <v>300</v>
      </c>
      <c r="I47" s="8">
        <v>1200</v>
      </c>
      <c r="J47">
        <f t="shared" si="0"/>
        <v>1200</v>
      </c>
      <c r="K47" t="str">
        <f>IF(Table2[[#This Row],[Calculated Total]]=Table2[[#This Row],[Total Amount]],"Correct","Check")</f>
        <v>Correct</v>
      </c>
    </row>
    <row r="48" spans="1:11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8">
        <v>500</v>
      </c>
      <c r="I48" s="8">
        <v>1500</v>
      </c>
      <c r="J48">
        <f t="shared" si="0"/>
        <v>1500</v>
      </c>
      <c r="K48" t="str">
        <f>IF(Table2[[#This Row],[Calculated Total]]=Table2[[#This Row],[Total Amount]],"Correct","Check")</f>
        <v>Correct</v>
      </c>
    </row>
    <row r="49" spans="1:11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8">
        <v>300</v>
      </c>
      <c r="I49" s="8">
        <v>900</v>
      </c>
      <c r="J49">
        <f t="shared" si="0"/>
        <v>900</v>
      </c>
      <c r="K49" t="str">
        <f>IF(Table2[[#This Row],[Calculated Total]]=Table2[[#This Row],[Total Amount]],"Correct","Check")</f>
        <v>Correct</v>
      </c>
    </row>
    <row r="50" spans="1:11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8">
        <v>500</v>
      </c>
      <c r="I50" s="8">
        <v>1000</v>
      </c>
      <c r="J50">
        <f t="shared" si="0"/>
        <v>1000</v>
      </c>
      <c r="K50" t="str">
        <f>IF(Table2[[#This Row],[Calculated Total]]=Table2[[#This Row],[Total Amount]],"Correct","Check")</f>
        <v>Correct</v>
      </c>
    </row>
    <row r="51" spans="1:11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8">
        <v>25</v>
      </c>
      <c r="I51" s="8">
        <v>75</v>
      </c>
      <c r="J51">
        <f t="shared" si="0"/>
        <v>75</v>
      </c>
      <c r="K51" t="str">
        <f>IF(Table2[[#This Row],[Calculated Total]]=Table2[[#This Row],[Total Amount]],"Correct","Check")</f>
        <v>Correct</v>
      </c>
    </row>
    <row r="52" spans="1:11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8">
        <v>25</v>
      </c>
      <c r="I52" s="8">
        <v>75</v>
      </c>
      <c r="J52">
        <f t="shared" si="0"/>
        <v>75</v>
      </c>
      <c r="K52" t="str">
        <f>IF(Table2[[#This Row],[Calculated Total]]=Table2[[#This Row],[Total Amount]],"Correct","Check")</f>
        <v>Correct</v>
      </c>
    </row>
    <row r="53" spans="1:11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8">
        <v>300</v>
      </c>
      <c r="I53" s="8">
        <v>300</v>
      </c>
      <c r="J53">
        <f t="shared" si="0"/>
        <v>300</v>
      </c>
      <c r="K53" t="str">
        <f>IF(Table2[[#This Row],[Calculated Total]]=Table2[[#This Row],[Total Amount]],"Correct","Check")</f>
        <v>Correct</v>
      </c>
    </row>
    <row r="54" spans="1:11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8">
        <v>50</v>
      </c>
      <c r="I54" s="8">
        <v>100</v>
      </c>
      <c r="J54">
        <f t="shared" si="0"/>
        <v>100</v>
      </c>
      <c r="K54" t="str">
        <f>IF(Table2[[#This Row],[Calculated Total]]=Table2[[#This Row],[Total Amount]],"Correct","Check")</f>
        <v>Correct</v>
      </c>
    </row>
    <row r="55" spans="1:11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8">
        <v>500</v>
      </c>
      <c r="I55" s="8">
        <v>1500</v>
      </c>
      <c r="J55">
        <f t="shared" si="0"/>
        <v>1500</v>
      </c>
      <c r="K55" t="str">
        <f>IF(Table2[[#This Row],[Calculated Total]]=Table2[[#This Row],[Total Amount]],"Correct","Check")</f>
        <v>Correct</v>
      </c>
    </row>
    <row r="56" spans="1:11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8">
        <v>30</v>
      </c>
      <c r="I56" s="8">
        <v>120</v>
      </c>
      <c r="J56">
        <f t="shared" si="0"/>
        <v>120</v>
      </c>
      <c r="K56" t="str">
        <f>IF(Table2[[#This Row],[Calculated Total]]=Table2[[#This Row],[Total Amount]],"Correct","Check")</f>
        <v>Correct</v>
      </c>
    </row>
    <row r="57" spans="1:11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8">
        <v>300</v>
      </c>
      <c r="I57" s="8">
        <v>900</v>
      </c>
      <c r="J57">
        <f t="shared" si="0"/>
        <v>900</v>
      </c>
      <c r="K57" t="str">
        <f>IF(Table2[[#This Row],[Calculated Total]]=Table2[[#This Row],[Total Amount]],"Correct","Check")</f>
        <v>Correct</v>
      </c>
    </row>
    <row r="58" spans="1:11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8">
        <v>30</v>
      </c>
      <c r="I58" s="8">
        <v>30</v>
      </c>
      <c r="J58">
        <f t="shared" si="0"/>
        <v>30</v>
      </c>
      <c r="K58" t="str">
        <f>IF(Table2[[#This Row],[Calculated Total]]=Table2[[#This Row],[Total Amount]],"Correct","Check")</f>
        <v>Correct</v>
      </c>
    </row>
    <row r="59" spans="1:11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8">
        <v>300</v>
      </c>
      <c r="I59" s="8">
        <v>1200</v>
      </c>
      <c r="J59">
        <f t="shared" si="0"/>
        <v>1200</v>
      </c>
      <c r="K59" t="str">
        <f>IF(Table2[[#This Row],[Calculated Total]]=Table2[[#This Row],[Total Amount]],"Correct","Check")</f>
        <v>Correct</v>
      </c>
    </row>
    <row r="60" spans="1:11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8">
        <v>50</v>
      </c>
      <c r="I60" s="8">
        <v>50</v>
      </c>
      <c r="J60">
        <f t="shared" si="0"/>
        <v>50</v>
      </c>
      <c r="K60" t="str">
        <f>IF(Table2[[#This Row],[Calculated Total]]=Table2[[#This Row],[Total Amount]],"Correct","Check")</f>
        <v>Correct</v>
      </c>
    </row>
    <row r="61" spans="1:11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8">
        <v>50</v>
      </c>
      <c r="I61" s="8">
        <v>150</v>
      </c>
      <c r="J61">
        <f t="shared" si="0"/>
        <v>150</v>
      </c>
      <c r="K61" t="str">
        <f>IF(Table2[[#This Row],[Calculated Total]]=Table2[[#This Row],[Total Amount]],"Correct","Check")</f>
        <v>Correct</v>
      </c>
    </row>
    <row r="62" spans="1:11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8">
        <v>50</v>
      </c>
      <c r="I62" s="8">
        <v>200</v>
      </c>
      <c r="J62">
        <f t="shared" si="0"/>
        <v>200</v>
      </c>
      <c r="K62" t="str">
        <f>IF(Table2[[#This Row],[Calculated Total]]=Table2[[#This Row],[Total Amount]],"Correct","Check")</f>
        <v>Correct</v>
      </c>
    </row>
    <row r="63" spans="1:11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8">
        <v>50</v>
      </c>
      <c r="I63" s="8">
        <v>100</v>
      </c>
      <c r="J63">
        <f t="shared" si="0"/>
        <v>100</v>
      </c>
      <c r="K63" t="str">
        <f>IF(Table2[[#This Row],[Calculated Total]]=Table2[[#This Row],[Total Amount]],"Correct","Check")</f>
        <v>Correct</v>
      </c>
    </row>
    <row r="64" spans="1:11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8">
        <v>25</v>
      </c>
      <c r="I64" s="8">
        <v>50</v>
      </c>
      <c r="J64">
        <f t="shared" si="0"/>
        <v>50</v>
      </c>
      <c r="K64" t="str">
        <f>IF(Table2[[#This Row],[Calculated Total]]=Table2[[#This Row],[Total Amount]],"Correct","Check")</f>
        <v>Correct</v>
      </c>
    </row>
    <row r="65" spans="1:11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8">
        <v>25</v>
      </c>
      <c r="I65" s="8">
        <v>100</v>
      </c>
      <c r="J65">
        <f t="shared" si="0"/>
        <v>100</v>
      </c>
      <c r="K65" t="str">
        <f>IF(Table2[[#This Row],[Calculated Total]]=Table2[[#This Row],[Total Amount]],"Correct","Check")</f>
        <v>Correct</v>
      </c>
    </row>
    <row r="66" spans="1:11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8">
        <v>500</v>
      </c>
      <c r="I66" s="8">
        <v>2000</v>
      </c>
      <c r="J66">
        <f t="shared" ref="J66:J129" si="1">G:G*H:H</f>
        <v>2000</v>
      </c>
      <c r="K66" t="str">
        <f>IF(Table2[[#This Row],[Calculated Total]]=Table2[[#This Row],[Total Amount]],"Correct","Check")</f>
        <v>Correct</v>
      </c>
    </row>
    <row r="67" spans="1:11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8">
        <v>30</v>
      </c>
      <c r="I67" s="8">
        <v>30</v>
      </c>
      <c r="J67">
        <f t="shared" si="1"/>
        <v>30</v>
      </c>
      <c r="K67" t="str">
        <f>IF(Table2[[#This Row],[Calculated Total]]=Table2[[#This Row],[Total Amount]],"Correct","Check")</f>
        <v>Correct</v>
      </c>
    </row>
    <row r="68" spans="1:11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8">
        <v>300</v>
      </c>
      <c r="I68" s="8">
        <v>1200</v>
      </c>
      <c r="J68">
        <f t="shared" si="1"/>
        <v>1200</v>
      </c>
      <c r="K68" t="str">
        <f>IF(Table2[[#This Row],[Calculated Total]]=Table2[[#This Row],[Total Amount]],"Correct","Check")</f>
        <v>Correct</v>
      </c>
    </row>
    <row r="69" spans="1:11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8">
        <v>300</v>
      </c>
      <c r="I69" s="8">
        <v>300</v>
      </c>
      <c r="J69">
        <f t="shared" si="1"/>
        <v>300</v>
      </c>
      <c r="K69" t="str">
        <f>IF(Table2[[#This Row],[Calculated Total]]=Table2[[#This Row],[Total Amount]],"Correct","Check")</f>
        <v>Correct</v>
      </c>
    </row>
    <row r="70" spans="1:11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8">
        <v>25</v>
      </c>
      <c r="I70" s="8">
        <v>75</v>
      </c>
      <c r="J70">
        <f t="shared" si="1"/>
        <v>75</v>
      </c>
      <c r="K70" t="str">
        <f>IF(Table2[[#This Row],[Calculated Total]]=Table2[[#This Row],[Total Amount]],"Correct","Check")</f>
        <v>Correct</v>
      </c>
    </row>
    <row r="71" spans="1:11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8">
        <v>300</v>
      </c>
      <c r="I71" s="8">
        <v>300</v>
      </c>
      <c r="J71">
        <f t="shared" si="1"/>
        <v>300</v>
      </c>
      <c r="K71" t="str">
        <f>IF(Table2[[#This Row],[Calculated Total]]=Table2[[#This Row],[Total Amount]],"Correct","Check")</f>
        <v>Correct</v>
      </c>
    </row>
    <row r="72" spans="1:11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8">
        <v>25</v>
      </c>
      <c r="I72" s="8">
        <v>100</v>
      </c>
      <c r="J72">
        <f t="shared" si="1"/>
        <v>100</v>
      </c>
      <c r="K72" t="str">
        <f>IF(Table2[[#This Row],[Calculated Total]]=Table2[[#This Row],[Total Amount]],"Correct","Check")</f>
        <v>Correct</v>
      </c>
    </row>
    <row r="73" spans="1:11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8">
        <v>500</v>
      </c>
      <c r="I73" s="8">
        <v>2000</v>
      </c>
      <c r="J73">
        <f t="shared" si="1"/>
        <v>2000</v>
      </c>
      <c r="K73" t="str">
        <f>IF(Table2[[#This Row],[Calculated Total]]=Table2[[#This Row],[Total Amount]],"Correct","Check")</f>
        <v>Correct</v>
      </c>
    </row>
    <row r="74" spans="1:11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8">
        <v>30</v>
      </c>
      <c r="I74" s="8">
        <v>90</v>
      </c>
      <c r="J74">
        <f t="shared" si="1"/>
        <v>90</v>
      </c>
      <c r="K74" t="str">
        <f>IF(Table2[[#This Row],[Calculated Total]]=Table2[[#This Row],[Total Amount]],"Correct","Check")</f>
        <v>Correct</v>
      </c>
    </row>
    <row r="75" spans="1:11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8">
        <v>500</v>
      </c>
      <c r="I75" s="8">
        <v>2000</v>
      </c>
      <c r="J75">
        <f t="shared" si="1"/>
        <v>2000</v>
      </c>
      <c r="K75" t="str">
        <f>IF(Table2[[#This Row],[Calculated Total]]=Table2[[#This Row],[Total Amount]],"Correct","Check")</f>
        <v>Correct</v>
      </c>
    </row>
    <row r="76" spans="1:11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8">
        <v>50</v>
      </c>
      <c r="I76" s="8">
        <v>200</v>
      </c>
      <c r="J76">
        <f t="shared" si="1"/>
        <v>200</v>
      </c>
      <c r="K76" t="str">
        <f>IF(Table2[[#This Row],[Calculated Total]]=Table2[[#This Row],[Total Amount]],"Correct","Check")</f>
        <v>Correct</v>
      </c>
    </row>
    <row r="77" spans="1:11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8">
        <v>50</v>
      </c>
      <c r="I77" s="8">
        <v>100</v>
      </c>
      <c r="J77">
        <f t="shared" si="1"/>
        <v>100</v>
      </c>
      <c r="K77" t="str">
        <f>IF(Table2[[#This Row],[Calculated Total]]=Table2[[#This Row],[Total Amount]],"Correct","Check")</f>
        <v>Correct</v>
      </c>
    </row>
    <row r="78" spans="1:11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8">
        <v>50</v>
      </c>
      <c r="I78" s="8">
        <v>100</v>
      </c>
      <c r="J78">
        <f t="shared" si="1"/>
        <v>100</v>
      </c>
      <c r="K78" t="str">
        <f>IF(Table2[[#This Row],[Calculated Total]]=Table2[[#This Row],[Total Amount]],"Correct","Check")</f>
        <v>Correct</v>
      </c>
    </row>
    <row r="79" spans="1:11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8">
        <v>500</v>
      </c>
      <c r="I79" s="8">
        <v>1500</v>
      </c>
      <c r="J79">
        <f t="shared" si="1"/>
        <v>1500</v>
      </c>
      <c r="K79" t="str">
        <f>IF(Table2[[#This Row],[Calculated Total]]=Table2[[#This Row],[Total Amount]],"Correct","Check")</f>
        <v>Correct</v>
      </c>
    </row>
    <row r="80" spans="1:11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8">
        <v>300</v>
      </c>
      <c r="I80" s="8">
        <v>300</v>
      </c>
      <c r="J80">
        <f t="shared" si="1"/>
        <v>300</v>
      </c>
      <c r="K80" t="str">
        <f>IF(Table2[[#This Row],[Calculated Total]]=Table2[[#This Row],[Total Amount]],"Correct","Check")</f>
        <v>Correct</v>
      </c>
    </row>
    <row r="81" spans="1:11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8">
        <v>30</v>
      </c>
      <c r="I81" s="8">
        <v>60</v>
      </c>
      <c r="J81">
        <f t="shared" si="1"/>
        <v>60</v>
      </c>
      <c r="K81" t="str">
        <f>IF(Table2[[#This Row],[Calculated Total]]=Table2[[#This Row],[Total Amount]],"Correct","Check")</f>
        <v>Correct</v>
      </c>
    </row>
    <row r="82" spans="1:11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8">
        <v>50</v>
      </c>
      <c r="I82" s="8">
        <v>50</v>
      </c>
      <c r="J82">
        <f t="shared" si="1"/>
        <v>50</v>
      </c>
      <c r="K82" t="str">
        <f>IF(Table2[[#This Row],[Calculated Total]]=Table2[[#This Row],[Total Amount]],"Correct","Check")</f>
        <v>Correct</v>
      </c>
    </row>
    <row r="83" spans="1:11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8">
        <v>50</v>
      </c>
      <c r="I83" s="8">
        <v>200</v>
      </c>
      <c r="J83">
        <f t="shared" si="1"/>
        <v>200</v>
      </c>
      <c r="K83" t="str">
        <f>IF(Table2[[#This Row],[Calculated Total]]=Table2[[#This Row],[Total Amount]],"Correct","Check")</f>
        <v>Correct</v>
      </c>
    </row>
    <row r="84" spans="1:11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8">
        <v>50</v>
      </c>
      <c r="I84" s="8">
        <v>100</v>
      </c>
      <c r="J84">
        <f t="shared" si="1"/>
        <v>100</v>
      </c>
      <c r="K84" t="str">
        <f>IF(Table2[[#This Row],[Calculated Total]]=Table2[[#This Row],[Total Amount]],"Correct","Check")</f>
        <v>Correct</v>
      </c>
    </row>
    <row r="85" spans="1:11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8">
        <v>30</v>
      </c>
      <c r="I85" s="8">
        <v>90</v>
      </c>
      <c r="J85">
        <f t="shared" si="1"/>
        <v>90</v>
      </c>
      <c r="K85" t="str">
        <f>IF(Table2[[#This Row],[Calculated Total]]=Table2[[#This Row],[Total Amount]],"Correct","Check")</f>
        <v>Correct</v>
      </c>
    </row>
    <row r="86" spans="1:11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8">
        <v>50</v>
      </c>
      <c r="I86" s="8">
        <v>150</v>
      </c>
      <c r="J86">
        <f t="shared" si="1"/>
        <v>150</v>
      </c>
      <c r="K86" t="str">
        <f>IF(Table2[[#This Row],[Calculated Total]]=Table2[[#This Row],[Total Amount]],"Correct","Check")</f>
        <v>Correct</v>
      </c>
    </row>
    <row r="87" spans="1:11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8">
        <v>30</v>
      </c>
      <c r="I87" s="8">
        <v>90</v>
      </c>
      <c r="J87">
        <f t="shared" si="1"/>
        <v>90</v>
      </c>
      <c r="K87" t="str">
        <f>IF(Table2[[#This Row],[Calculated Total]]=Table2[[#This Row],[Total Amount]],"Correct","Check")</f>
        <v>Correct</v>
      </c>
    </row>
    <row r="88" spans="1:11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8">
        <v>50</v>
      </c>
      <c r="I88" s="8">
        <v>100</v>
      </c>
      <c r="J88">
        <f t="shared" si="1"/>
        <v>100</v>
      </c>
      <c r="K88" t="str">
        <f>IF(Table2[[#This Row],[Calculated Total]]=Table2[[#This Row],[Total Amount]],"Correct","Check")</f>
        <v>Correct</v>
      </c>
    </row>
    <row r="89" spans="1:11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8">
        <v>500</v>
      </c>
      <c r="I89" s="8">
        <v>500</v>
      </c>
      <c r="J89">
        <f t="shared" si="1"/>
        <v>500</v>
      </c>
      <c r="K89" t="str">
        <f>IF(Table2[[#This Row],[Calculated Total]]=Table2[[#This Row],[Total Amount]],"Correct","Check")</f>
        <v>Correct</v>
      </c>
    </row>
    <row r="90" spans="1:11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8">
        <v>500</v>
      </c>
      <c r="I90" s="8">
        <v>2000</v>
      </c>
      <c r="J90">
        <f t="shared" si="1"/>
        <v>2000</v>
      </c>
      <c r="K90" t="str">
        <f>IF(Table2[[#This Row],[Calculated Total]]=Table2[[#This Row],[Total Amount]],"Correct","Check")</f>
        <v>Correct</v>
      </c>
    </row>
    <row r="91" spans="1:11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8">
        <v>30</v>
      </c>
      <c r="I91" s="8">
        <v>30</v>
      </c>
      <c r="J91">
        <f t="shared" si="1"/>
        <v>30</v>
      </c>
      <c r="K91" t="str">
        <f>IF(Table2[[#This Row],[Calculated Total]]=Table2[[#This Row],[Total Amount]],"Correct","Check")</f>
        <v>Correct</v>
      </c>
    </row>
    <row r="92" spans="1:11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8">
        <v>500</v>
      </c>
      <c r="I92" s="8">
        <v>500</v>
      </c>
      <c r="J92">
        <f t="shared" si="1"/>
        <v>500</v>
      </c>
      <c r="K92" t="str">
        <f>IF(Table2[[#This Row],[Calculated Total]]=Table2[[#This Row],[Total Amount]],"Correct","Check")</f>
        <v>Correct</v>
      </c>
    </row>
    <row r="93" spans="1:11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8">
        <v>30</v>
      </c>
      <c r="I93" s="8">
        <v>120</v>
      </c>
      <c r="J93">
        <f t="shared" si="1"/>
        <v>120</v>
      </c>
      <c r="K93" t="str">
        <f>IF(Table2[[#This Row],[Calculated Total]]=Table2[[#This Row],[Total Amount]],"Correct","Check")</f>
        <v>Correct</v>
      </c>
    </row>
    <row r="94" spans="1:11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8">
        <v>500</v>
      </c>
      <c r="I94" s="8">
        <v>2000</v>
      </c>
      <c r="J94">
        <f t="shared" si="1"/>
        <v>2000</v>
      </c>
      <c r="K94" t="str">
        <f>IF(Table2[[#This Row],[Calculated Total]]=Table2[[#This Row],[Total Amount]],"Correct","Check")</f>
        <v>Correct</v>
      </c>
    </row>
    <row r="95" spans="1:11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8">
        <v>500</v>
      </c>
      <c r="I95" s="8">
        <v>1000</v>
      </c>
      <c r="J95">
        <f t="shared" si="1"/>
        <v>1000</v>
      </c>
      <c r="K95" t="str">
        <f>IF(Table2[[#This Row],[Calculated Total]]=Table2[[#This Row],[Total Amount]],"Correct","Check")</f>
        <v>Correct</v>
      </c>
    </row>
    <row r="96" spans="1:11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8">
        <v>30</v>
      </c>
      <c r="I96" s="8">
        <v>60</v>
      </c>
      <c r="J96">
        <f t="shared" si="1"/>
        <v>60</v>
      </c>
      <c r="K96" t="str">
        <f>IF(Table2[[#This Row],[Calculated Total]]=Table2[[#This Row],[Total Amount]],"Correct","Check")</f>
        <v>Correct</v>
      </c>
    </row>
    <row r="97" spans="1:11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8">
        <v>300</v>
      </c>
      <c r="I97" s="8">
        <v>600</v>
      </c>
      <c r="J97">
        <f t="shared" si="1"/>
        <v>600</v>
      </c>
      <c r="K97" t="str">
        <f>IF(Table2[[#This Row],[Calculated Total]]=Table2[[#This Row],[Total Amount]],"Correct","Check")</f>
        <v>Correct</v>
      </c>
    </row>
    <row r="98" spans="1:11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8">
        <v>500</v>
      </c>
      <c r="I98" s="8">
        <v>1000</v>
      </c>
      <c r="J98">
        <f t="shared" si="1"/>
        <v>1000</v>
      </c>
      <c r="K98" t="str">
        <f>IF(Table2[[#This Row],[Calculated Total]]=Table2[[#This Row],[Total Amount]],"Correct","Check")</f>
        <v>Correct</v>
      </c>
    </row>
    <row r="99" spans="1:11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8">
        <v>50</v>
      </c>
      <c r="I99" s="8">
        <v>100</v>
      </c>
      <c r="J99">
        <f t="shared" si="1"/>
        <v>100</v>
      </c>
      <c r="K99" t="str">
        <f>IF(Table2[[#This Row],[Calculated Total]]=Table2[[#This Row],[Total Amount]],"Correct","Check")</f>
        <v>Correct</v>
      </c>
    </row>
    <row r="100" spans="1:11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8">
        <v>300</v>
      </c>
      <c r="I100" s="8">
        <v>1200</v>
      </c>
      <c r="J100">
        <f t="shared" si="1"/>
        <v>1200</v>
      </c>
      <c r="K100" t="str">
        <f>IF(Table2[[#This Row],[Calculated Total]]=Table2[[#This Row],[Total Amount]],"Correct","Check")</f>
        <v>Correct</v>
      </c>
    </row>
    <row r="101" spans="1:11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8">
        <v>30</v>
      </c>
      <c r="I101" s="8">
        <v>30</v>
      </c>
      <c r="J101">
        <f t="shared" si="1"/>
        <v>30</v>
      </c>
      <c r="K101" t="str">
        <f>IF(Table2[[#This Row],[Calculated Total]]=Table2[[#This Row],[Total Amount]],"Correct","Check")</f>
        <v>Correct</v>
      </c>
    </row>
    <row r="102" spans="1:11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8">
        <v>300</v>
      </c>
      <c r="I102" s="8">
        <v>600</v>
      </c>
      <c r="J102">
        <f t="shared" si="1"/>
        <v>600</v>
      </c>
      <c r="K102" t="str">
        <f>IF(Table2[[#This Row],[Calculated Total]]=Table2[[#This Row],[Total Amount]],"Correct","Check")</f>
        <v>Correct</v>
      </c>
    </row>
    <row r="103" spans="1:11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8">
        <v>25</v>
      </c>
      <c r="I103" s="8">
        <v>50</v>
      </c>
      <c r="J103">
        <f t="shared" si="1"/>
        <v>50</v>
      </c>
      <c r="K103" t="str">
        <f>IF(Table2[[#This Row],[Calculated Total]]=Table2[[#This Row],[Total Amount]],"Correct","Check")</f>
        <v>Correct</v>
      </c>
    </row>
    <row r="104" spans="1:11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8">
        <v>25</v>
      </c>
      <c r="I104" s="8">
        <v>25</v>
      </c>
      <c r="J104">
        <f t="shared" si="1"/>
        <v>25</v>
      </c>
      <c r="K104" t="str">
        <f>IF(Table2[[#This Row],[Calculated Total]]=Table2[[#This Row],[Total Amount]],"Correct","Check")</f>
        <v>Correct</v>
      </c>
    </row>
    <row r="105" spans="1:11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8">
        <v>500</v>
      </c>
      <c r="I105" s="8">
        <v>1000</v>
      </c>
      <c r="J105">
        <f t="shared" si="1"/>
        <v>1000</v>
      </c>
      <c r="K105" t="str">
        <f>IF(Table2[[#This Row],[Calculated Total]]=Table2[[#This Row],[Total Amount]],"Correct","Check")</f>
        <v>Correct</v>
      </c>
    </row>
    <row r="106" spans="1:11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8">
        <v>500</v>
      </c>
      <c r="I106" s="8">
        <v>500</v>
      </c>
      <c r="J106">
        <f t="shared" si="1"/>
        <v>500</v>
      </c>
      <c r="K106" t="str">
        <f>IF(Table2[[#This Row],[Calculated Total]]=Table2[[#This Row],[Total Amount]],"Correct","Check")</f>
        <v>Correct</v>
      </c>
    </row>
    <row r="107" spans="1:11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8">
        <v>50</v>
      </c>
      <c r="I107" s="8">
        <v>50</v>
      </c>
      <c r="J107">
        <f t="shared" si="1"/>
        <v>50</v>
      </c>
      <c r="K107" t="str">
        <f>IF(Table2[[#This Row],[Calculated Total]]=Table2[[#This Row],[Total Amount]],"Correct","Check")</f>
        <v>Correct</v>
      </c>
    </row>
    <row r="108" spans="1:11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8">
        <v>300</v>
      </c>
      <c r="I108" s="8">
        <v>1200</v>
      </c>
      <c r="J108">
        <f t="shared" si="1"/>
        <v>1200</v>
      </c>
      <c r="K108" t="str">
        <f>IF(Table2[[#This Row],[Calculated Total]]=Table2[[#This Row],[Total Amount]],"Correct","Check")</f>
        <v>Correct</v>
      </c>
    </row>
    <row r="109" spans="1:11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8">
        <v>25</v>
      </c>
      <c r="I109" s="8">
        <v>75</v>
      </c>
      <c r="J109">
        <f t="shared" si="1"/>
        <v>75</v>
      </c>
      <c r="K109" t="str">
        <f>IF(Table2[[#This Row],[Calculated Total]]=Table2[[#This Row],[Total Amount]],"Correct","Check")</f>
        <v>Correct</v>
      </c>
    </row>
    <row r="110" spans="1:11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8">
        <v>500</v>
      </c>
      <c r="I110" s="8">
        <v>2000</v>
      </c>
      <c r="J110">
        <f t="shared" si="1"/>
        <v>2000</v>
      </c>
      <c r="K110" t="str">
        <f>IF(Table2[[#This Row],[Calculated Total]]=Table2[[#This Row],[Total Amount]],"Correct","Check")</f>
        <v>Correct</v>
      </c>
    </row>
    <row r="111" spans="1:11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8">
        <v>300</v>
      </c>
      <c r="I111" s="8">
        <v>900</v>
      </c>
      <c r="J111">
        <f t="shared" si="1"/>
        <v>900</v>
      </c>
      <c r="K111" t="str">
        <f>IF(Table2[[#This Row],[Calculated Total]]=Table2[[#This Row],[Total Amount]],"Correct","Check")</f>
        <v>Correct</v>
      </c>
    </row>
    <row r="112" spans="1:11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8">
        <v>500</v>
      </c>
      <c r="I112" s="8">
        <v>1500</v>
      </c>
      <c r="J112">
        <f t="shared" si="1"/>
        <v>1500</v>
      </c>
      <c r="K112" t="str">
        <f>IF(Table2[[#This Row],[Calculated Total]]=Table2[[#This Row],[Total Amount]],"Correct","Check")</f>
        <v>Correct</v>
      </c>
    </row>
    <row r="113" spans="1:11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8">
        <v>500</v>
      </c>
      <c r="I113" s="8">
        <v>1500</v>
      </c>
      <c r="J113">
        <f t="shared" si="1"/>
        <v>1500</v>
      </c>
      <c r="K113" t="str">
        <f>IF(Table2[[#This Row],[Calculated Total]]=Table2[[#This Row],[Total Amount]],"Correct","Check")</f>
        <v>Correct</v>
      </c>
    </row>
    <row r="114" spans="1:11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8">
        <v>25</v>
      </c>
      <c r="I114" s="8">
        <v>50</v>
      </c>
      <c r="J114">
        <f t="shared" si="1"/>
        <v>50</v>
      </c>
      <c r="K114" t="str">
        <f>IF(Table2[[#This Row],[Calculated Total]]=Table2[[#This Row],[Total Amount]],"Correct","Check")</f>
        <v>Correct</v>
      </c>
    </row>
    <row r="115" spans="1:11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8">
        <v>25</v>
      </c>
      <c r="I115" s="8">
        <v>100</v>
      </c>
      <c r="J115">
        <f t="shared" si="1"/>
        <v>100</v>
      </c>
      <c r="K115" t="str">
        <f>IF(Table2[[#This Row],[Calculated Total]]=Table2[[#This Row],[Total Amount]],"Correct","Check")</f>
        <v>Correct</v>
      </c>
    </row>
    <row r="116" spans="1:11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8">
        <v>500</v>
      </c>
      <c r="I116" s="8">
        <v>1500</v>
      </c>
      <c r="J116">
        <f t="shared" si="1"/>
        <v>1500</v>
      </c>
      <c r="K116" t="str">
        <f>IF(Table2[[#This Row],[Calculated Total]]=Table2[[#This Row],[Total Amount]],"Correct","Check")</f>
        <v>Correct</v>
      </c>
    </row>
    <row r="117" spans="1:11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8">
        <v>30</v>
      </c>
      <c r="I117" s="8">
        <v>30</v>
      </c>
      <c r="J117">
        <f t="shared" si="1"/>
        <v>30</v>
      </c>
      <c r="K117" t="str">
        <f>IF(Table2[[#This Row],[Calculated Total]]=Table2[[#This Row],[Total Amount]],"Correct","Check")</f>
        <v>Correct</v>
      </c>
    </row>
    <row r="118" spans="1:11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8">
        <v>500</v>
      </c>
      <c r="I118" s="8">
        <v>1000</v>
      </c>
      <c r="J118">
        <f t="shared" si="1"/>
        <v>1000</v>
      </c>
      <c r="K118" t="str">
        <f>IF(Table2[[#This Row],[Calculated Total]]=Table2[[#This Row],[Total Amount]],"Correct","Check")</f>
        <v>Correct</v>
      </c>
    </row>
    <row r="119" spans="1:11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8">
        <v>500</v>
      </c>
      <c r="I119" s="8">
        <v>2000</v>
      </c>
      <c r="J119">
        <f t="shared" si="1"/>
        <v>2000</v>
      </c>
      <c r="K119" t="str">
        <f>IF(Table2[[#This Row],[Calculated Total]]=Table2[[#This Row],[Total Amount]],"Correct","Check")</f>
        <v>Correct</v>
      </c>
    </row>
    <row r="120" spans="1:11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8">
        <v>50</v>
      </c>
      <c r="I120" s="8">
        <v>150</v>
      </c>
      <c r="J120">
        <f t="shared" si="1"/>
        <v>150</v>
      </c>
      <c r="K120" t="str">
        <f>IF(Table2[[#This Row],[Calculated Total]]=Table2[[#This Row],[Total Amount]],"Correct","Check")</f>
        <v>Correct</v>
      </c>
    </row>
    <row r="121" spans="1:11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8">
        <v>50</v>
      </c>
      <c r="I121" s="8">
        <v>50</v>
      </c>
      <c r="J121">
        <f t="shared" si="1"/>
        <v>50</v>
      </c>
      <c r="K121" t="str">
        <f>IF(Table2[[#This Row],[Calculated Total]]=Table2[[#This Row],[Total Amount]],"Correct","Check")</f>
        <v>Correct</v>
      </c>
    </row>
    <row r="122" spans="1:11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8">
        <v>50</v>
      </c>
      <c r="I122" s="8">
        <v>200</v>
      </c>
      <c r="J122">
        <f t="shared" si="1"/>
        <v>200</v>
      </c>
      <c r="K122" t="str">
        <f>IF(Table2[[#This Row],[Calculated Total]]=Table2[[#This Row],[Total Amount]],"Correct","Check")</f>
        <v>Correct</v>
      </c>
    </row>
    <row r="123" spans="1:11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8">
        <v>30</v>
      </c>
      <c r="I123" s="8">
        <v>120</v>
      </c>
      <c r="J123">
        <f t="shared" si="1"/>
        <v>120</v>
      </c>
      <c r="K123" t="str">
        <f>IF(Table2[[#This Row],[Calculated Total]]=Table2[[#This Row],[Total Amount]],"Correct","Check")</f>
        <v>Correct</v>
      </c>
    </row>
    <row r="124" spans="1:11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8">
        <v>30</v>
      </c>
      <c r="I124" s="8">
        <v>60</v>
      </c>
      <c r="J124">
        <f t="shared" si="1"/>
        <v>60</v>
      </c>
      <c r="K124" t="str">
        <f>IF(Table2[[#This Row],[Calculated Total]]=Table2[[#This Row],[Total Amount]],"Correct","Check")</f>
        <v>Correct</v>
      </c>
    </row>
    <row r="125" spans="1:11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8">
        <v>500</v>
      </c>
      <c r="I125" s="8">
        <v>2000</v>
      </c>
      <c r="J125">
        <f t="shared" si="1"/>
        <v>2000</v>
      </c>
      <c r="K125" t="str">
        <f>IF(Table2[[#This Row],[Calculated Total]]=Table2[[#This Row],[Total Amount]],"Correct","Check")</f>
        <v>Correct</v>
      </c>
    </row>
    <row r="126" spans="1:11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8">
        <v>50</v>
      </c>
      <c r="I126" s="8">
        <v>100</v>
      </c>
      <c r="J126">
        <f t="shared" si="1"/>
        <v>100</v>
      </c>
      <c r="K126" t="str">
        <f>IF(Table2[[#This Row],[Calculated Total]]=Table2[[#This Row],[Total Amount]],"Correct","Check")</f>
        <v>Correct</v>
      </c>
    </row>
    <row r="127" spans="1:11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8">
        <v>30</v>
      </c>
      <c r="I127" s="8">
        <v>90</v>
      </c>
      <c r="J127">
        <f t="shared" si="1"/>
        <v>90</v>
      </c>
      <c r="K127" t="str">
        <f>IF(Table2[[#This Row],[Calculated Total]]=Table2[[#This Row],[Total Amount]],"Correct","Check")</f>
        <v>Correct</v>
      </c>
    </row>
    <row r="128" spans="1:11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8">
        <v>25</v>
      </c>
      <c r="I128" s="8">
        <v>50</v>
      </c>
      <c r="J128">
        <f t="shared" si="1"/>
        <v>50</v>
      </c>
      <c r="K128" t="str">
        <f>IF(Table2[[#This Row],[Calculated Total]]=Table2[[#This Row],[Total Amount]],"Correct","Check")</f>
        <v>Correct</v>
      </c>
    </row>
    <row r="129" spans="1:11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8">
        <v>500</v>
      </c>
      <c r="I129" s="8">
        <v>500</v>
      </c>
      <c r="J129">
        <f t="shared" si="1"/>
        <v>500</v>
      </c>
      <c r="K129" t="str">
        <f>IF(Table2[[#This Row],[Calculated Total]]=Table2[[#This Row],[Total Amount]],"Correct","Check")</f>
        <v>Correct</v>
      </c>
    </row>
    <row r="130" spans="1:11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8">
        <v>300</v>
      </c>
      <c r="I130" s="8">
        <v>600</v>
      </c>
      <c r="J130">
        <f t="shared" ref="J130:J193" si="2">G:G*H:H</f>
        <v>600</v>
      </c>
      <c r="K130" t="str">
        <f>IF(Table2[[#This Row],[Calculated Total]]=Table2[[#This Row],[Total Amount]],"Correct","Check")</f>
        <v>Correct</v>
      </c>
    </row>
    <row r="131" spans="1:11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8">
        <v>500</v>
      </c>
      <c r="I131" s="8">
        <v>500</v>
      </c>
      <c r="J131">
        <f t="shared" si="2"/>
        <v>500</v>
      </c>
      <c r="K131" t="str">
        <f>IF(Table2[[#This Row],[Calculated Total]]=Table2[[#This Row],[Total Amount]],"Correct","Check")</f>
        <v>Correct</v>
      </c>
    </row>
    <row r="132" spans="1:11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8">
        <v>300</v>
      </c>
      <c r="I132" s="8">
        <v>600</v>
      </c>
      <c r="J132">
        <f t="shared" si="2"/>
        <v>600</v>
      </c>
      <c r="K132" t="str">
        <f>IF(Table2[[#This Row],[Calculated Total]]=Table2[[#This Row],[Total Amount]],"Correct","Check")</f>
        <v>Correct</v>
      </c>
    </row>
    <row r="133" spans="1:11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8">
        <v>50</v>
      </c>
      <c r="I133" s="8">
        <v>200</v>
      </c>
      <c r="J133">
        <f t="shared" si="2"/>
        <v>200</v>
      </c>
      <c r="K133" t="str">
        <f>IF(Table2[[#This Row],[Calculated Total]]=Table2[[#This Row],[Total Amount]],"Correct","Check")</f>
        <v>Correct</v>
      </c>
    </row>
    <row r="134" spans="1:11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8">
        <v>300</v>
      </c>
      <c r="I134" s="8">
        <v>900</v>
      </c>
      <c r="J134">
        <f t="shared" si="2"/>
        <v>900</v>
      </c>
      <c r="K134" t="str">
        <f>IF(Table2[[#This Row],[Calculated Total]]=Table2[[#This Row],[Total Amount]],"Correct","Check")</f>
        <v>Correct</v>
      </c>
    </row>
    <row r="135" spans="1:11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8">
        <v>50</v>
      </c>
      <c r="I135" s="8">
        <v>50</v>
      </c>
      <c r="J135">
        <f t="shared" si="2"/>
        <v>50</v>
      </c>
      <c r="K135" t="str">
        <f>IF(Table2[[#This Row],[Calculated Total]]=Table2[[#This Row],[Total Amount]],"Correct","Check")</f>
        <v>Correct</v>
      </c>
    </row>
    <row r="136" spans="1:11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8">
        <v>25</v>
      </c>
      <c r="I136" s="8">
        <v>50</v>
      </c>
      <c r="J136">
        <f t="shared" si="2"/>
        <v>50</v>
      </c>
      <c r="K136" t="str">
        <f>IF(Table2[[#This Row],[Calculated Total]]=Table2[[#This Row],[Total Amount]],"Correct","Check")</f>
        <v>Correct</v>
      </c>
    </row>
    <row r="137" spans="1:11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8">
        <v>300</v>
      </c>
      <c r="I137" s="8">
        <v>600</v>
      </c>
      <c r="J137">
        <f t="shared" si="2"/>
        <v>600</v>
      </c>
      <c r="K137" t="str">
        <f>IF(Table2[[#This Row],[Calculated Total]]=Table2[[#This Row],[Total Amount]],"Correct","Check")</f>
        <v>Correct</v>
      </c>
    </row>
    <row r="138" spans="1:11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8">
        <v>500</v>
      </c>
      <c r="I138" s="8">
        <v>1000</v>
      </c>
      <c r="J138">
        <f t="shared" si="2"/>
        <v>1000</v>
      </c>
      <c r="K138" t="str">
        <f>IF(Table2[[#This Row],[Calculated Total]]=Table2[[#This Row],[Total Amount]],"Correct","Check")</f>
        <v>Correct</v>
      </c>
    </row>
    <row r="139" spans="1:11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8">
        <v>50</v>
      </c>
      <c r="I139" s="8">
        <v>200</v>
      </c>
      <c r="J139">
        <f t="shared" si="2"/>
        <v>200</v>
      </c>
      <c r="K139" t="str">
        <f>IF(Table2[[#This Row],[Calculated Total]]=Table2[[#This Row],[Total Amount]],"Correct","Check")</f>
        <v>Correct</v>
      </c>
    </row>
    <row r="140" spans="1:11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8">
        <v>500</v>
      </c>
      <c r="I140" s="8">
        <v>2000</v>
      </c>
      <c r="J140">
        <f t="shared" si="2"/>
        <v>2000</v>
      </c>
      <c r="K140" t="str">
        <f>IF(Table2[[#This Row],[Calculated Total]]=Table2[[#This Row],[Total Amount]],"Correct","Check")</f>
        <v>Correct</v>
      </c>
    </row>
    <row r="141" spans="1:11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8">
        <v>30</v>
      </c>
      <c r="I141" s="8">
        <v>30</v>
      </c>
      <c r="J141">
        <f t="shared" si="2"/>
        <v>30</v>
      </c>
      <c r="K141" t="str">
        <f>IF(Table2[[#This Row],[Calculated Total]]=Table2[[#This Row],[Total Amount]],"Correct","Check")</f>
        <v>Correct</v>
      </c>
    </row>
    <row r="142" spans="1:11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8">
        <v>50</v>
      </c>
      <c r="I142" s="8">
        <v>50</v>
      </c>
      <c r="J142">
        <f t="shared" si="2"/>
        <v>50</v>
      </c>
      <c r="K142" t="str">
        <f>IF(Table2[[#This Row],[Calculated Total]]=Table2[[#This Row],[Total Amount]],"Correct","Check")</f>
        <v>Correct</v>
      </c>
    </row>
    <row r="143" spans="1:11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8">
        <v>300</v>
      </c>
      <c r="I143" s="8">
        <v>1200</v>
      </c>
      <c r="J143">
        <f t="shared" si="2"/>
        <v>1200</v>
      </c>
      <c r="K143" t="str">
        <f>IF(Table2[[#This Row],[Calculated Total]]=Table2[[#This Row],[Total Amount]],"Correct","Check")</f>
        <v>Correct</v>
      </c>
    </row>
    <row r="144" spans="1:11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8">
        <v>50</v>
      </c>
      <c r="I144" s="8">
        <v>50</v>
      </c>
      <c r="J144">
        <f t="shared" si="2"/>
        <v>50</v>
      </c>
      <c r="K144" t="str">
        <f>IF(Table2[[#This Row],[Calculated Total]]=Table2[[#This Row],[Total Amount]],"Correct","Check")</f>
        <v>Correct</v>
      </c>
    </row>
    <row r="145" spans="1:11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8">
        <v>500</v>
      </c>
      <c r="I145" s="8">
        <v>1500</v>
      </c>
      <c r="J145">
        <f t="shared" si="2"/>
        <v>1500</v>
      </c>
      <c r="K145" t="str">
        <f>IF(Table2[[#This Row],[Calculated Total]]=Table2[[#This Row],[Total Amount]],"Correct","Check")</f>
        <v>Correct</v>
      </c>
    </row>
    <row r="146" spans="1:11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8">
        <v>25</v>
      </c>
      <c r="I146" s="8">
        <v>75</v>
      </c>
      <c r="J146">
        <f t="shared" si="2"/>
        <v>75</v>
      </c>
      <c r="K146" t="str">
        <f>IF(Table2[[#This Row],[Calculated Total]]=Table2[[#This Row],[Total Amount]],"Correct","Check")</f>
        <v>Correct</v>
      </c>
    </row>
    <row r="147" spans="1:11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8">
        <v>50</v>
      </c>
      <c r="I147" s="8">
        <v>200</v>
      </c>
      <c r="J147">
        <f t="shared" si="2"/>
        <v>200</v>
      </c>
      <c r="K147" t="str">
        <f>IF(Table2[[#This Row],[Calculated Total]]=Table2[[#This Row],[Total Amount]],"Correct","Check")</f>
        <v>Correct</v>
      </c>
    </row>
    <row r="148" spans="1:11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8">
        <v>300</v>
      </c>
      <c r="I148" s="8">
        <v>300</v>
      </c>
      <c r="J148">
        <f t="shared" si="2"/>
        <v>300</v>
      </c>
      <c r="K148" t="str">
        <f>IF(Table2[[#This Row],[Calculated Total]]=Table2[[#This Row],[Total Amount]],"Correct","Check")</f>
        <v>Correct</v>
      </c>
    </row>
    <row r="149" spans="1:11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8">
        <v>30</v>
      </c>
      <c r="I149" s="8">
        <v>60</v>
      </c>
      <c r="J149">
        <f t="shared" si="2"/>
        <v>60</v>
      </c>
      <c r="K149" t="str">
        <f>IF(Table2[[#This Row],[Calculated Total]]=Table2[[#This Row],[Total Amount]],"Correct","Check")</f>
        <v>Correct</v>
      </c>
    </row>
    <row r="150" spans="1:11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8">
        <v>25</v>
      </c>
      <c r="I150" s="8">
        <v>75</v>
      </c>
      <c r="J150">
        <f t="shared" si="2"/>
        <v>75</v>
      </c>
      <c r="K150" t="str">
        <f>IF(Table2[[#This Row],[Calculated Total]]=Table2[[#This Row],[Total Amount]],"Correct","Check")</f>
        <v>Correct</v>
      </c>
    </row>
    <row r="151" spans="1:11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8">
        <v>30</v>
      </c>
      <c r="I151" s="8">
        <v>120</v>
      </c>
      <c r="J151">
        <f t="shared" si="2"/>
        <v>120</v>
      </c>
      <c r="K151" t="str">
        <f>IF(Table2[[#This Row],[Calculated Total]]=Table2[[#This Row],[Total Amount]],"Correct","Check")</f>
        <v>Correct</v>
      </c>
    </row>
    <row r="152" spans="1:11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8">
        <v>50</v>
      </c>
      <c r="I152" s="8">
        <v>50</v>
      </c>
      <c r="J152">
        <f t="shared" si="2"/>
        <v>50</v>
      </c>
      <c r="K152" t="str">
        <f>IF(Table2[[#This Row],[Calculated Total]]=Table2[[#This Row],[Total Amount]],"Correct","Check")</f>
        <v>Correct</v>
      </c>
    </row>
    <row r="153" spans="1:11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8">
        <v>500</v>
      </c>
      <c r="I153" s="8">
        <v>2000</v>
      </c>
      <c r="J153">
        <f t="shared" si="2"/>
        <v>2000</v>
      </c>
      <c r="K153" t="str">
        <f>IF(Table2[[#This Row],[Calculated Total]]=Table2[[#This Row],[Total Amount]],"Correct","Check")</f>
        <v>Correct</v>
      </c>
    </row>
    <row r="154" spans="1:11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8">
        <v>500</v>
      </c>
      <c r="I154" s="8">
        <v>1000</v>
      </c>
      <c r="J154">
        <f t="shared" si="2"/>
        <v>1000</v>
      </c>
      <c r="K154" t="str">
        <f>IF(Table2[[#This Row],[Calculated Total]]=Table2[[#This Row],[Total Amount]],"Correct","Check")</f>
        <v>Correct</v>
      </c>
    </row>
    <row r="155" spans="1:11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8">
        <v>300</v>
      </c>
      <c r="I155" s="8">
        <v>900</v>
      </c>
      <c r="J155">
        <f t="shared" si="2"/>
        <v>900</v>
      </c>
      <c r="K155" t="str">
        <f>IF(Table2[[#This Row],[Calculated Total]]=Table2[[#This Row],[Total Amount]],"Correct","Check")</f>
        <v>Correct</v>
      </c>
    </row>
    <row r="156" spans="1:11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8">
        <v>500</v>
      </c>
      <c r="I156" s="8">
        <v>2000</v>
      </c>
      <c r="J156">
        <f t="shared" si="2"/>
        <v>2000</v>
      </c>
      <c r="K156" t="str">
        <f>IF(Table2[[#This Row],[Calculated Total]]=Table2[[#This Row],[Total Amount]],"Correct","Check")</f>
        <v>Correct</v>
      </c>
    </row>
    <row r="157" spans="1:11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8">
        <v>25</v>
      </c>
      <c r="I157" s="8">
        <v>100</v>
      </c>
      <c r="J157">
        <f t="shared" si="2"/>
        <v>100</v>
      </c>
      <c r="K157" t="str">
        <f>IF(Table2[[#This Row],[Calculated Total]]=Table2[[#This Row],[Total Amount]],"Correct","Check")</f>
        <v>Correct</v>
      </c>
    </row>
    <row r="158" spans="1:11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8">
        <v>500</v>
      </c>
      <c r="I158" s="8">
        <v>2000</v>
      </c>
      <c r="J158">
        <f t="shared" si="2"/>
        <v>2000</v>
      </c>
      <c r="K158" t="str">
        <f>IF(Table2[[#This Row],[Calculated Total]]=Table2[[#This Row],[Total Amount]],"Correct","Check")</f>
        <v>Correct</v>
      </c>
    </row>
    <row r="159" spans="1:11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8">
        <v>300</v>
      </c>
      <c r="I159" s="8">
        <v>600</v>
      </c>
      <c r="J159">
        <f t="shared" si="2"/>
        <v>600</v>
      </c>
      <c r="K159" t="str">
        <f>IF(Table2[[#This Row],[Calculated Total]]=Table2[[#This Row],[Total Amount]],"Correct","Check")</f>
        <v>Correct</v>
      </c>
    </row>
    <row r="160" spans="1:11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8">
        <v>50</v>
      </c>
      <c r="I160" s="8">
        <v>200</v>
      </c>
      <c r="J160">
        <f t="shared" si="2"/>
        <v>200</v>
      </c>
      <c r="K160" t="str">
        <f>IF(Table2[[#This Row],[Calculated Total]]=Table2[[#This Row],[Total Amount]],"Correct","Check")</f>
        <v>Correct</v>
      </c>
    </row>
    <row r="161" spans="1:11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8">
        <v>50</v>
      </c>
      <c r="I161" s="8">
        <v>100</v>
      </c>
      <c r="J161">
        <f t="shared" si="2"/>
        <v>100</v>
      </c>
      <c r="K161" t="str">
        <f>IF(Table2[[#This Row],[Calculated Total]]=Table2[[#This Row],[Total Amount]],"Correct","Check")</f>
        <v>Correct</v>
      </c>
    </row>
    <row r="162" spans="1:11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8">
        <v>500</v>
      </c>
      <c r="I162" s="8">
        <v>1000</v>
      </c>
      <c r="J162">
        <f t="shared" si="2"/>
        <v>1000</v>
      </c>
      <c r="K162" t="str">
        <f>IF(Table2[[#This Row],[Calculated Total]]=Table2[[#This Row],[Total Amount]],"Correct","Check")</f>
        <v>Correct</v>
      </c>
    </row>
    <row r="163" spans="1:11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8">
        <v>30</v>
      </c>
      <c r="I163" s="8">
        <v>60</v>
      </c>
      <c r="J163">
        <f t="shared" si="2"/>
        <v>60</v>
      </c>
      <c r="K163" t="str">
        <f>IF(Table2[[#This Row],[Calculated Total]]=Table2[[#This Row],[Total Amount]],"Correct","Check")</f>
        <v>Correct</v>
      </c>
    </row>
    <row r="164" spans="1:11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8">
        <v>50</v>
      </c>
      <c r="I164" s="8">
        <v>150</v>
      </c>
      <c r="J164">
        <f t="shared" si="2"/>
        <v>150</v>
      </c>
      <c r="K164" t="str">
        <f>IF(Table2[[#This Row],[Calculated Total]]=Table2[[#This Row],[Total Amount]],"Correct","Check")</f>
        <v>Correct</v>
      </c>
    </row>
    <row r="165" spans="1:11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8">
        <v>500</v>
      </c>
      <c r="I165" s="8">
        <v>1500</v>
      </c>
      <c r="J165">
        <f t="shared" si="2"/>
        <v>1500</v>
      </c>
      <c r="K165" t="str">
        <f>IF(Table2[[#This Row],[Calculated Total]]=Table2[[#This Row],[Total Amount]],"Correct","Check")</f>
        <v>Correct</v>
      </c>
    </row>
    <row r="166" spans="1:11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8">
        <v>300</v>
      </c>
      <c r="I166" s="8">
        <v>1200</v>
      </c>
      <c r="J166">
        <f t="shared" si="2"/>
        <v>1200</v>
      </c>
      <c r="K166" t="str">
        <f>IF(Table2[[#This Row],[Calculated Total]]=Table2[[#This Row],[Total Amount]],"Correct","Check")</f>
        <v>Correct</v>
      </c>
    </row>
    <row r="167" spans="1:11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8">
        <v>500</v>
      </c>
      <c r="I167" s="8">
        <v>2000</v>
      </c>
      <c r="J167">
        <f t="shared" si="2"/>
        <v>2000</v>
      </c>
      <c r="K167" t="str">
        <f>IF(Table2[[#This Row],[Calculated Total]]=Table2[[#This Row],[Total Amount]],"Correct","Check")</f>
        <v>Correct</v>
      </c>
    </row>
    <row r="168" spans="1:11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8">
        <v>50</v>
      </c>
      <c r="I168" s="8">
        <v>150</v>
      </c>
      <c r="J168">
        <f t="shared" si="2"/>
        <v>150</v>
      </c>
      <c r="K168" t="str">
        <f>IF(Table2[[#This Row],[Calculated Total]]=Table2[[#This Row],[Total Amount]],"Correct","Check")</f>
        <v>Correct</v>
      </c>
    </row>
    <row r="169" spans="1:11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8">
        <v>300</v>
      </c>
      <c r="I169" s="8">
        <v>300</v>
      </c>
      <c r="J169">
        <f t="shared" si="2"/>
        <v>300</v>
      </c>
      <c r="K169" t="str">
        <f>IF(Table2[[#This Row],[Calculated Total]]=Table2[[#This Row],[Total Amount]],"Correct","Check")</f>
        <v>Correct</v>
      </c>
    </row>
    <row r="170" spans="1:11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8">
        <v>500</v>
      </c>
      <c r="I170" s="8">
        <v>1500</v>
      </c>
      <c r="J170">
        <f t="shared" si="2"/>
        <v>1500</v>
      </c>
      <c r="K170" t="str">
        <f>IF(Table2[[#This Row],[Calculated Total]]=Table2[[#This Row],[Total Amount]],"Correct","Check")</f>
        <v>Correct</v>
      </c>
    </row>
    <row r="171" spans="1:11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8">
        <v>25</v>
      </c>
      <c r="I171" s="8">
        <v>50</v>
      </c>
      <c r="J171">
        <f t="shared" si="2"/>
        <v>50</v>
      </c>
      <c r="K171" t="str">
        <f>IF(Table2[[#This Row],[Calculated Total]]=Table2[[#This Row],[Total Amount]],"Correct","Check")</f>
        <v>Correct</v>
      </c>
    </row>
    <row r="172" spans="1:11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8">
        <v>300</v>
      </c>
      <c r="I172" s="8">
        <v>900</v>
      </c>
      <c r="J172">
        <f t="shared" si="2"/>
        <v>900</v>
      </c>
      <c r="K172" t="str">
        <f>IF(Table2[[#This Row],[Calculated Total]]=Table2[[#This Row],[Total Amount]],"Correct","Check")</f>
        <v>Correct</v>
      </c>
    </row>
    <row r="173" spans="1:11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8">
        <v>25</v>
      </c>
      <c r="I173" s="8">
        <v>50</v>
      </c>
      <c r="J173">
        <f t="shared" si="2"/>
        <v>50</v>
      </c>
      <c r="K173" t="str">
        <f>IF(Table2[[#This Row],[Calculated Total]]=Table2[[#This Row],[Total Amount]],"Correct","Check")</f>
        <v>Correct</v>
      </c>
    </row>
    <row r="174" spans="1:11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8">
        <v>30</v>
      </c>
      <c r="I174" s="8">
        <v>120</v>
      </c>
      <c r="J174">
        <f t="shared" si="2"/>
        <v>120</v>
      </c>
      <c r="K174" t="str">
        <f>IF(Table2[[#This Row],[Calculated Total]]=Table2[[#This Row],[Total Amount]],"Correct","Check")</f>
        <v>Correct</v>
      </c>
    </row>
    <row r="175" spans="1:11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8">
        <v>300</v>
      </c>
      <c r="I175" s="8">
        <v>300</v>
      </c>
      <c r="J175">
        <f t="shared" si="2"/>
        <v>300</v>
      </c>
      <c r="K175" t="str">
        <f>IF(Table2[[#This Row],[Calculated Total]]=Table2[[#This Row],[Total Amount]],"Correct","Check")</f>
        <v>Correct</v>
      </c>
    </row>
    <row r="176" spans="1:11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8">
        <v>25</v>
      </c>
      <c r="I176" s="8">
        <v>100</v>
      </c>
      <c r="J176">
        <f t="shared" si="2"/>
        <v>100</v>
      </c>
      <c r="K176" t="str">
        <f>IF(Table2[[#This Row],[Calculated Total]]=Table2[[#This Row],[Total Amount]],"Correct","Check")</f>
        <v>Correct</v>
      </c>
    </row>
    <row r="177" spans="1:11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8">
        <v>50</v>
      </c>
      <c r="I177" s="8">
        <v>100</v>
      </c>
      <c r="J177">
        <f t="shared" si="2"/>
        <v>100</v>
      </c>
      <c r="K177" t="str">
        <f>IF(Table2[[#This Row],[Calculated Total]]=Table2[[#This Row],[Total Amount]],"Correct","Check")</f>
        <v>Correct</v>
      </c>
    </row>
    <row r="178" spans="1:11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8">
        <v>50</v>
      </c>
      <c r="I178" s="8">
        <v>100</v>
      </c>
      <c r="J178">
        <f t="shared" si="2"/>
        <v>100</v>
      </c>
      <c r="K178" t="str">
        <f>IF(Table2[[#This Row],[Calculated Total]]=Table2[[#This Row],[Total Amount]],"Correct","Check")</f>
        <v>Correct</v>
      </c>
    </row>
    <row r="179" spans="1:11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8">
        <v>30</v>
      </c>
      <c r="I179" s="8">
        <v>60</v>
      </c>
      <c r="J179">
        <f t="shared" si="2"/>
        <v>60</v>
      </c>
      <c r="K179" t="str">
        <f>IF(Table2[[#This Row],[Calculated Total]]=Table2[[#This Row],[Total Amount]],"Correct","Check")</f>
        <v>Correct</v>
      </c>
    </row>
    <row r="180" spans="1:11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8">
        <v>300</v>
      </c>
      <c r="I180" s="8">
        <v>300</v>
      </c>
      <c r="J180">
        <f t="shared" si="2"/>
        <v>300</v>
      </c>
      <c r="K180" t="str">
        <f>IF(Table2[[#This Row],[Calculated Total]]=Table2[[#This Row],[Total Amount]],"Correct","Check")</f>
        <v>Correct</v>
      </c>
    </row>
    <row r="181" spans="1:11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8">
        <v>300</v>
      </c>
      <c r="I181" s="8">
        <v>900</v>
      </c>
      <c r="J181">
        <f t="shared" si="2"/>
        <v>900</v>
      </c>
      <c r="K181" t="str">
        <f>IF(Table2[[#This Row],[Calculated Total]]=Table2[[#This Row],[Total Amount]],"Correct","Check")</f>
        <v>Correct</v>
      </c>
    </row>
    <row r="182" spans="1:11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8">
        <v>300</v>
      </c>
      <c r="I182" s="8">
        <v>1200</v>
      </c>
      <c r="J182">
        <f t="shared" si="2"/>
        <v>1200</v>
      </c>
      <c r="K182" t="str">
        <f>IF(Table2[[#This Row],[Calculated Total]]=Table2[[#This Row],[Total Amount]],"Correct","Check")</f>
        <v>Correct</v>
      </c>
    </row>
    <row r="183" spans="1:11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8">
        <v>30</v>
      </c>
      <c r="I183" s="8">
        <v>120</v>
      </c>
      <c r="J183">
        <f t="shared" si="2"/>
        <v>120</v>
      </c>
      <c r="K183" t="str">
        <f>IF(Table2[[#This Row],[Calculated Total]]=Table2[[#This Row],[Total Amount]],"Correct","Check")</f>
        <v>Correct</v>
      </c>
    </row>
    <row r="184" spans="1:11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8">
        <v>300</v>
      </c>
      <c r="I184" s="8">
        <v>900</v>
      </c>
      <c r="J184">
        <f t="shared" si="2"/>
        <v>900</v>
      </c>
      <c r="K184" t="str">
        <f>IF(Table2[[#This Row],[Calculated Total]]=Table2[[#This Row],[Total Amount]],"Correct","Check")</f>
        <v>Correct</v>
      </c>
    </row>
    <row r="185" spans="1:11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8">
        <v>50</v>
      </c>
      <c r="I185" s="8">
        <v>200</v>
      </c>
      <c r="J185">
        <f t="shared" si="2"/>
        <v>200</v>
      </c>
      <c r="K185" t="str">
        <f>IF(Table2[[#This Row],[Calculated Total]]=Table2[[#This Row],[Total Amount]],"Correct","Check")</f>
        <v>Correct</v>
      </c>
    </row>
    <row r="186" spans="1:11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8">
        <v>25</v>
      </c>
      <c r="I186" s="8">
        <v>25</v>
      </c>
      <c r="J186">
        <f t="shared" si="2"/>
        <v>25</v>
      </c>
      <c r="K186" t="str">
        <f>IF(Table2[[#This Row],[Calculated Total]]=Table2[[#This Row],[Total Amount]],"Correct","Check")</f>
        <v>Correct</v>
      </c>
    </row>
    <row r="187" spans="1:11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8">
        <v>50</v>
      </c>
      <c r="I187" s="8">
        <v>200</v>
      </c>
      <c r="J187">
        <f t="shared" si="2"/>
        <v>200</v>
      </c>
      <c r="K187" t="str">
        <f>IF(Table2[[#This Row],[Calculated Total]]=Table2[[#This Row],[Total Amount]],"Correct","Check")</f>
        <v>Correct</v>
      </c>
    </row>
    <row r="188" spans="1:11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8">
        <v>50</v>
      </c>
      <c r="I188" s="8">
        <v>100</v>
      </c>
      <c r="J188">
        <f t="shared" si="2"/>
        <v>100</v>
      </c>
      <c r="K188" t="str">
        <f>IF(Table2[[#This Row],[Calculated Total]]=Table2[[#This Row],[Total Amount]],"Correct","Check")</f>
        <v>Correct</v>
      </c>
    </row>
    <row r="189" spans="1:11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8">
        <v>25</v>
      </c>
      <c r="I189" s="8">
        <v>75</v>
      </c>
      <c r="J189">
        <f t="shared" si="2"/>
        <v>75</v>
      </c>
      <c r="K189" t="str">
        <f>IF(Table2[[#This Row],[Calculated Total]]=Table2[[#This Row],[Total Amount]],"Correct","Check")</f>
        <v>Correct</v>
      </c>
    </row>
    <row r="190" spans="1:11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8">
        <v>50</v>
      </c>
      <c r="I190" s="8">
        <v>50</v>
      </c>
      <c r="J190">
        <f t="shared" si="2"/>
        <v>50</v>
      </c>
      <c r="K190" t="str">
        <f>IF(Table2[[#This Row],[Calculated Total]]=Table2[[#This Row],[Total Amount]],"Correct","Check")</f>
        <v>Correct</v>
      </c>
    </row>
    <row r="191" spans="1:11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8">
        <v>30</v>
      </c>
      <c r="I191" s="8">
        <v>90</v>
      </c>
      <c r="J191">
        <f t="shared" si="2"/>
        <v>90</v>
      </c>
      <c r="K191" t="str">
        <f>IF(Table2[[#This Row],[Calculated Total]]=Table2[[#This Row],[Total Amount]],"Correct","Check")</f>
        <v>Correct</v>
      </c>
    </row>
    <row r="192" spans="1:11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8">
        <v>25</v>
      </c>
      <c r="I192" s="8">
        <v>25</v>
      </c>
      <c r="J192">
        <f t="shared" si="2"/>
        <v>25</v>
      </c>
      <c r="K192" t="str">
        <f>IF(Table2[[#This Row],[Calculated Total]]=Table2[[#This Row],[Total Amount]],"Correct","Check")</f>
        <v>Correct</v>
      </c>
    </row>
    <row r="193" spans="1:11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8">
        <v>50</v>
      </c>
      <c r="I193" s="8">
        <v>100</v>
      </c>
      <c r="J193">
        <f t="shared" si="2"/>
        <v>100</v>
      </c>
      <c r="K193" t="str">
        <f>IF(Table2[[#This Row],[Calculated Total]]=Table2[[#This Row],[Total Amount]],"Correct","Check")</f>
        <v>Correct</v>
      </c>
    </row>
    <row r="194" spans="1:11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8">
        <v>500</v>
      </c>
      <c r="I194" s="8">
        <v>1500</v>
      </c>
      <c r="J194">
        <f t="shared" ref="J194:J257" si="3">G:G*H:H</f>
        <v>1500</v>
      </c>
      <c r="K194" t="str">
        <f>IF(Table2[[#This Row],[Calculated Total]]=Table2[[#This Row],[Total Amount]],"Correct","Check")</f>
        <v>Correct</v>
      </c>
    </row>
    <row r="195" spans="1:11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8">
        <v>50</v>
      </c>
      <c r="I195" s="8">
        <v>200</v>
      </c>
      <c r="J195">
        <f t="shared" si="3"/>
        <v>200</v>
      </c>
      <c r="K195" t="str">
        <f>IF(Table2[[#This Row],[Calculated Total]]=Table2[[#This Row],[Total Amount]],"Correct","Check")</f>
        <v>Correct</v>
      </c>
    </row>
    <row r="196" spans="1:11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8">
        <v>30</v>
      </c>
      <c r="I196" s="8">
        <v>30</v>
      </c>
      <c r="J196">
        <f t="shared" si="3"/>
        <v>30</v>
      </c>
      <c r="K196" t="str">
        <f>IF(Table2[[#This Row],[Calculated Total]]=Table2[[#This Row],[Total Amount]],"Correct","Check")</f>
        <v>Correct</v>
      </c>
    </row>
    <row r="197" spans="1:11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8">
        <v>300</v>
      </c>
      <c r="I197" s="8">
        <v>900</v>
      </c>
      <c r="J197">
        <f t="shared" si="3"/>
        <v>900</v>
      </c>
      <c r="K197" t="str">
        <f>IF(Table2[[#This Row],[Calculated Total]]=Table2[[#This Row],[Total Amount]],"Correct","Check")</f>
        <v>Correct</v>
      </c>
    </row>
    <row r="198" spans="1:11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8">
        <v>50</v>
      </c>
      <c r="I198" s="8">
        <v>200</v>
      </c>
      <c r="J198">
        <f t="shared" si="3"/>
        <v>200</v>
      </c>
      <c r="K198" t="str">
        <f>IF(Table2[[#This Row],[Calculated Total]]=Table2[[#This Row],[Total Amount]],"Correct","Check")</f>
        <v>Correct</v>
      </c>
    </row>
    <row r="199" spans="1:11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8">
        <v>300</v>
      </c>
      <c r="I199" s="8">
        <v>900</v>
      </c>
      <c r="J199">
        <f t="shared" si="3"/>
        <v>900</v>
      </c>
      <c r="K199" t="str">
        <f>IF(Table2[[#This Row],[Calculated Total]]=Table2[[#This Row],[Total Amount]],"Correct","Check")</f>
        <v>Correct</v>
      </c>
    </row>
    <row r="200" spans="1:11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8">
        <v>500</v>
      </c>
      <c r="I200" s="8">
        <v>1500</v>
      </c>
      <c r="J200">
        <f t="shared" si="3"/>
        <v>1500</v>
      </c>
      <c r="K200" t="str">
        <f>IF(Table2[[#This Row],[Calculated Total]]=Table2[[#This Row],[Total Amount]],"Correct","Check")</f>
        <v>Correct</v>
      </c>
    </row>
    <row r="201" spans="1:11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8">
        <v>50</v>
      </c>
      <c r="I201" s="8">
        <v>150</v>
      </c>
      <c r="J201">
        <f t="shared" si="3"/>
        <v>150</v>
      </c>
      <c r="K201" t="str">
        <f>IF(Table2[[#This Row],[Calculated Total]]=Table2[[#This Row],[Total Amount]],"Correct","Check")</f>
        <v>Correct</v>
      </c>
    </row>
    <row r="202" spans="1:11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8">
        <v>25</v>
      </c>
      <c r="I202" s="8">
        <v>25</v>
      </c>
      <c r="J202">
        <f t="shared" si="3"/>
        <v>25</v>
      </c>
      <c r="K202" t="str">
        <f>IF(Table2[[#This Row],[Calculated Total]]=Table2[[#This Row],[Total Amount]],"Correct","Check")</f>
        <v>Correct</v>
      </c>
    </row>
    <row r="203" spans="1:11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8">
        <v>300</v>
      </c>
      <c r="I203" s="8">
        <v>1200</v>
      </c>
      <c r="J203">
        <f t="shared" si="3"/>
        <v>1200</v>
      </c>
      <c r="K203" t="str">
        <f>IF(Table2[[#This Row],[Calculated Total]]=Table2[[#This Row],[Total Amount]],"Correct","Check")</f>
        <v>Correct</v>
      </c>
    </row>
    <row r="204" spans="1:11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8">
        <v>500</v>
      </c>
      <c r="I204" s="8">
        <v>1000</v>
      </c>
      <c r="J204">
        <f t="shared" si="3"/>
        <v>1000</v>
      </c>
      <c r="K204" t="str">
        <f>IF(Table2[[#This Row],[Calculated Total]]=Table2[[#This Row],[Total Amount]],"Correct","Check")</f>
        <v>Correct</v>
      </c>
    </row>
    <row r="205" spans="1:11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8">
        <v>25</v>
      </c>
      <c r="I205" s="8">
        <v>25</v>
      </c>
      <c r="J205">
        <f t="shared" si="3"/>
        <v>25</v>
      </c>
      <c r="K205" t="str">
        <f>IF(Table2[[#This Row],[Calculated Total]]=Table2[[#This Row],[Total Amount]],"Correct","Check")</f>
        <v>Correct</v>
      </c>
    </row>
    <row r="206" spans="1:11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8">
        <v>25</v>
      </c>
      <c r="I206" s="8">
        <v>25</v>
      </c>
      <c r="J206">
        <f t="shared" si="3"/>
        <v>25</v>
      </c>
      <c r="K206" t="str">
        <f>IF(Table2[[#This Row],[Calculated Total]]=Table2[[#This Row],[Total Amount]],"Correct","Check")</f>
        <v>Correct</v>
      </c>
    </row>
    <row r="207" spans="1:11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8">
        <v>25</v>
      </c>
      <c r="I207" s="8">
        <v>25</v>
      </c>
      <c r="J207">
        <f t="shared" si="3"/>
        <v>25</v>
      </c>
      <c r="K207" t="str">
        <f>IF(Table2[[#This Row],[Calculated Total]]=Table2[[#This Row],[Total Amount]],"Correct","Check")</f>
        <v>Correct</v>
      </c>
    </row>
    <row r="208" spans="1:11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8">
        <v>25</v>
      </c>
      <c r="I208" s="8">
        <v>50</v>
      </c>
      <c r="J208">
        <f t="shared" si="3"/>
        <v>50</v>
      </c>
      <c r="K208" t="str">
        <f>IF(Table2[[#This Row],[Calculated Total]]=Table2[[#This Row],[Total Amount]],"Correct","Check")</f>
        <v>Correct</v>
      </c>
    </row>
    <row r="209" spans="1:11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8">
        <v>50</v>
      </c>
      <c r="I209" s="8">
        <v>200</v>
      </c>
      <c r="J209">
        <f t="shared" si="3"/>
        <v>200</v>
      </c>
      <c r="K209" t="str">
        <f>IF(Table2[[#This Row],[Calculated Total]]=Table2[[#This Row],[Total Amount]],"Correct","Check")</f>
        <v>Correct</v>
      </c>
    </row>
    <row r="210" spans="1:11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8">
        <v>50</v>
      </c>
      <c r="I210" s="8">
        <v>200</v>
      </c>
      <c r="J210">
        <f t="shared" si="3"/>
        <v>200</v>
      </c>
      <c r="K210" t="str">
        <f>IF(Table2[[#This Row],[Calculated Total]]=Table2[[#This Row],[Total Amount]],"Correct","Check")</f>
        <v>Correct</v>
      </c>
    </row>
    <row r="211" spans="1:11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8">
        <v>50</v>
      </c>
      <c r="I211" s="8">
        <v>200</v>
      </c>
      <c r="J211">
        <f t="shared" si="3"/>
        <v>200</v>
      </c>
      <c r="K211" t="str">
        <f>IF(Table2[[#This Row],[Calculated Total]]=Table2[[#This Row],[Total Amount]],"Correct","Check")</f>
        <v>Correct</v>
      </c>
    </row>
    <row r="212" spans="1:11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8">
        <v>500</v>
      </c>
      <c r="I212" s="8">
        <v>1500</v>
      </c>
      <c r="J212">
        <f t="shared" si="3"/>
        <v>1500</v>
      </c>
      <c r="K212" t="str">
        <f>IF(Table2[[#This Row],[Calculated Total]]=Table2[[#This Row],[Total Amount]],"Correct","Check")</f>
        <v>Correct</v>
      </c>
    </row>
    <row r="213" spans="1:11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8">
        <v>500</v>
      </c>
      <c r="I213" s="8">
        <v>1500</v>
      </c>
      <c r="J213">
        <f t="shared" si="3"/>
        <v>1500</v>
      </c>
      <c r="K213" t="str">
        <f>IF(Table2[[#This Row],[Calculated Total]]=Table2[[#This Row],[Total Amount]],"Correct","Check")</f>
        <v>Correct</v>
      </c>
    </row>
    <row r="214" spans="1:11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8">
        <v>500</v>
      </c>
      <c r="I214" s="8">
        <v>1500</v>
      </c>
      <c r="J214">
        <f t="shared" si="3"/>
        <v>1500</v>
      </c>
      <c r="K214" t="str">
        <f>IF(Table2[[#This Row],[Calculated Total]]=Table2[[#This Row],[Total Amount]],"Correct","Check")</f>
        <v>Correct</v>
      </c>
    </row>
    <row r="215" spans="1:11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8">
        <v>30</v>
      </c>
      <c r="I215" s="8">
        <v>60</v>
      </c>
      <c r="J215">
        <f t="shared" si="3"/>
        <v>60</v>
      </c>
      <c r="K215" t="str">
        <f>IF(Table2[[#This Row],[Calculated Total]]=Table2[[#This Row],[Total Amount]],"Correct","Check")</f>
        <v>Correct</v>
      </c>
    </row>
    <row r="216" spans="1:11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8">
        <v>500</v>
      </c>
      <c r="I216" s="8">
        <v>1500</v>
      </c>
      <c r="J216">
        <f t="shared" si="3"/>
        <v>1500</v>
      </c>
      <c r="K216" t="str">
        <f>IF(Table2[[#This Row],[Calculated Total]]=Table2[[#This Row],[Total Amount]],"Correct","Check")</f>
        <v>Correct</v>
      </c>
    </row>
    <row r="217" spans="1:11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8">
        <v>50</v>
      </c>
      <c r="I217" s="8">
        <v>100</v>
      </c>
      <c r="J217">
        <f t="shared" si="3"/>
        <v>100</v>
      </c>
      <c r="K217" t="str">
        <f>IF(Table2[[#This Row],[Calculated Total]]=Table2[[#This Row],[Total Amount]],"Correct","Check")</f>
        <v>Correct</v>
      </c>
    </row>
    <row r="218" spans="1:11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8">
        <v>50</v>
      </c>
      <c r="I218" s="8">
        <v>200</v>
      </c>
      <c r="J218">
        <f t="shared" si="3"/>
        <v>200</v>
      </c>
      <c r="K218" t="str">
        <f>IF(Table2[[#This Row],[Calculated Total]]=Table2[[#This Row],[Total Amount]],"Correct","Check")</f>
        <v>Correct</v>
      </c>
    </row>
    <row r="219" spans="1:11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8">
        <v>30</v>
      </c>
      <c r="I219" s="8">
        <v>90</v>
      </c>
      <c r="J219">
        <f t="shared" si="3"/>
        <v>90</v>
      </c>
      <c r="K219" t="str">
        <f>IF(Table2[[#This Row],[Calculated Total]]=Table2[[#This Row],[Total Amount]],"Correct","Check")</f>
        <v>Correct</v>
      </c>
    </row>
    <row r="220" spans="1:11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8">
        <v>30</v>
      </c>
      <c r="I220" s="8">
        <v>90</v>
      </c>
      <c r="J220">
        <f t="shared" si="3"/>
        <v>90</v>
      </c>
      <c r="K220" t="str">
        <f>IF(Table2[[#This Row],[Calculated Total]]=Table2[[#This Row],[Total Amount]],"Correct","Check")</f>
        <v>Correct</v>
      </c>
    </row>
    <row r="221" spans="1:11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8">
        <v>500</v>
      </c>
      <c r="I221" s="8">
        <v>500</v>
      </c>
      <c r="J221">
        <f t="shared" si="3"/>
        <v>500</v>
      </c>
      <c r="K221" t="str">
        <f>IF(Table2[[#This Row],[Calculated Total]]=Table2[[#This Row],[Total Amount]],"Correct","Check")</f>
        <v>Correct</v>
      </c>
    </row>
    <row r="222" spans="1:11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8">
        <v>300</v>
      </c>
      <c r="I222" s="8">
        <v>600</v>
      </c>
      <c r="J222">
        <f t="shared" si="3"/>
        <v>600</v>
      </c>
      <c r="K222" t="str">
        <f>IF(Table2[[#This Row],[Calculated Total]]=Table2[[#This Row],[Total Amount]],"Correct","Check")</f>
        <v>Correct</v>
      </c>
    </row>
    <row r="223" spans="1:11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8">
        <v>30</v>
      </c>
      <c r="I223" s="8">
        <v>120</v>
      </c>
      <c r="J223">
        <f t="shared" si="3"/>
        <v>120</v>
      </c>
      <c r="K223" t="str">
        <f>IF(Table2[[#This Row],[Calculated Total]]=Table2[[#This Row],[Total Amount]],"Correct","Check")</f>
        <v>Correct</v>
      </c>
    </row>
    <row r="224" spans="1:11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8">
        <v>25</v>
      </c>
      <c r="I224" s="8">
        <v>25</v>
      </c>
      <c r="J224">
        <f t="shared" si="3"/>
        <v>25</v>
      </c>
      <c r="K224" t="str">
        <f>IF(Table2[[#This Row],[Calculated Total]]=Table2[[#This Row],[Total Amount]],"Correct","Check")</f>
        <v>Correct</v>
      </c>
    </row>
    <row r="225" spans="1:11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8">
        <v>50</v>
      </c>
      <c r="I225" s="8">
        <v>50</v>
      </c>
      <c r="J225">
        <f t="shared" si="3"/>
        <v>50</v>
      </c>
      <c r="K225" t="str">
        <f>IF(Table2[[#This Row],[Calculated Total]]=Table2[[#This Row],[Total Amount]],"Correct","Check")</f>
        <v>Correct</v>
      </c>
    </row>
    <row r="226" spans="1:11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8">
        <v>25</v>
      </c>
      <c r="I226" s="8">
        <v>100</v>
      </c>
      <c r="J226">
        <f t="shared" si="3"/>
        <v>100</v>
      </c>
      <c r="K226" t="str">
        <f>IF(Table2[[#This Row],[Calculated Total]]=Table2[[#This Row],[Total Amount]],"Correct","Check")</f>
        <v>Correct</v>
      </c>
    </row>
    <row r="227" spans="1:11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8">
        <v>50</v>
      </c>
      <c r="I227" s="8">
        <v>50</v>
      </c>
      <c r="J227">
        <f t="shared" si="3"/>
        <v>50</v>
      </c>
      <c r="K227" t="str">
        <f>IF(Table2[[#This Row],[Calculated Total]]=Table2[[#This Row],[Total Amount]],"Correct","Check")</f>
        <v>Correct</v>
      </c>
    </row>
    <row r="228" spans="1:11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8">
        <v>50</v>
      </c>
      <c r="I228" s="8">
        <v>100</v>
      </c>
      <c r="J228">
        <f t="shared" si="3"/>
        <v>100</v>
      </c>
      <c r="K228" t="str">
        <f>IF(Table2[[#This Row],[Calculated Total]]=Table2[[#This Row],[Total Amount]],"Correct","Check")</f>
        <v>Correct</v>
      </c>
    </row>
    <row r="229" spans="1:11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8">
        <v>30</v>
      </c>
      <c r="I229" s="8">
        <v>60</v>
      </c>
      <c r="J229">
        <f t="shared" si="3"/>
        <v>60</v>
      </c>
      <c r="K229" t="str">
        <f>IF(Table2[[#This Row],[Calculated Total]]=Table2[[#This Row],[Total Amount]],"Correct","Check")</f>
        <v>Correct</v>
      </c>
    </row>
    <row r="230" spans="1:11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8">
        <v>30</v>
      </c>
      <c r="I230" s="8">
        <v>90</v>
      </c>
      <c r="J230">
        <f t="shared" si="3"/>
        <v>90</v>
      </c>
      <c r="K230" t="str">
        <f>IF(Table2[[#This Row],[Calculated Total]]=Table2[[#This Row],[Total Amount]],"Correct","Check")</f>
        <v>Correct</v>
      </c>
    </row>
    <row r="231" spans="1:11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8">
        <v>25</v>
      </c>
      <c r="I231" s="8">
        <v>25</v>
      </c>
      <c r="J231">
        <f t="shared" si="3"/>
        <v>25</v>
      </c>
      <c r="K231" t="str">
        <f>IF(Table2[[#This Row],[Calculated Total]]=Table2[[#This Row],[Total Amount]],"Correct","Check")</f>
        <v>Correct</v>
      </c>
    </row>
    <row r="232" spans="1:11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8">
        <v>50</v>
      </c>
      <c r="I232" s="8">
        <v>150</v>
      </c>
      <c r="J232">
        <f t="shared" si="3"/>
        <v>150</v>
      </c>
      <c r="K232" t="str">
        <f>IF(Table2[[#This Row],[Calculated Total]]=Table2[[#This Row],[Total Amount]],"Correct","Check")</f>
        <v>Correct</v>
      </c>
    </row>
    <row r="233" spans="1:11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8">
        <v>25</v>
      </c>
      <c r="I233" s="8">
        <v>25</v>
      </c>
      <c r="J233">
        <f t="shared" si="3"/>
        <v>25</v>
      </c>
      <c r="K233" t="str">
        <f>IF(Table2[[#This Row],[Calculated Total]]=Table2[[#This Row],[Total Amount]],"Correct","Check")</f>
        <v>Correct</v>
      </c>
    </row>
    <row r="234" spans="1:11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8">
        <v>300</v>
      </c>
      <c r="I234" s="8">
        <v>600</v>
      </c>
      <c r="J234">
        <f t="shared" si="3"/>
        <v>600</v>
      </c>
      <c r="K234" t="str">
        <f>IF(Table2[[#This Row],[Calculated Total]]=Table2[[#This Row],[Total Amount]],"Correct","Check")</f>
        <v>Correct</v>
      </c>
    </row>
    <row r="235" spans="1:11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8">
        <v>25</v>
      </c>
      <c r="I235" s="8">
        <v>50</v>
      </c>
      <c r="J235">
        <f t="shared" si="3"/>
        <v>50</v>
      </c>
      <c r="K235" t="str">
        <f>IF(Table2[[#This Row],[Calculated Total]]=Table2[[#This Row],[Total Amount]],"Correct","Check")</f>
        <v>Correct</v>
      </c>
    </row>
    <row r="236" spans="1:11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8">
        <v>500</v>
      </c>
      <c r="I236" s="8">
        <v>1000</v>
      </c>
      <c r="J236">
        <f t="shared" si="3"/>
        <v>1000</v>
      </c>
      <c r="K236" t="str">
        <f>IF(Table2[[#This Row],[Calculated Total]]=Table2[[#This Row],[Total Amount]],"Correct","Check")</f>
        <v>Correct</v>
      </c>
    </row>
    <row r="237" spans="1:11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8">
        <v>25</v>
      </c>
      <c r="I237" s="8">
        <v>25</v>
      </c>
      <c r="J237">
        <f t="shared" si="3"/>
        <v>25</v>
      </c>
      <c r="K237" t="str">
        <f>IF(Table2[[#This Row],[Calculated Total]]=Table2[[#This Row],[Total Amount]],"Correct","Check")</f>
        <v>Correct</v>
      </c>
    </row>
    <row r="238" spans="1:11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8">
        <v>500</v>
      </c>
      <c r="I238" s="8">
        <v>1000</v>
      </c>
      <c r="J238">
        <f t="shared" si="3"/>
        <v>1000</v>
      </c>
      <c r="K238" t="str">
        <f>IF(Table2[[#This Row],[Calculated Total]]=Table2[[#This Row],[Total Amount]],"Correct","Check")</f>
        <v>Correct</v>
      </c>
    </row>
    <row r="239" spans="1:11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8">
        <v>500</v>
      </c>
      <c r="I239" s="8">
        <v>500</v>
      </c>
      <c r="J239">
        <f t="shared" si="3"/>
        <v>500</v>
      </c>
      <c r="K239" t="str">
        <f>IF(Table2[[#This Row],[Calculated Total]]=Table2[[#This Row],[Total Amount]],"Correct","Check")</f>
        <v>Correct</v>
      </c>
    </row>
    <row r="240" spans="1:11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8">
        <v>500</v>
      </c>
      <c r="I240" s="8">
        <v>1500</v>
      </c>
      <c r="J240">
        <f t="shared" si="3"/>
        <v>1500</v>
      </c>
      <c r="K240" t="str">
        <f>IF(Table2[[#This Row],[Calculated Total]]=Table2[[#This Row],[Total Amount]],"Correct","Check")</f>
        <v>Correct</v>
      </c>
    </row>
    <row r="241" spans="1:11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8">
        <v>300</v>
      </c>
      <c r="I241" s="8">
        <v>300</v>
      </c>
      <c r="J241">
        <f t="shared" si="3"/>
        <v>300</v>
      </c>
      <c r="K241" t="str">
        <f>IF(Table2[[#This Row],[Calculated Total]]=Table2[[#This Row],[Total Amount]],"Correct","Check")</f>
        <v>Correct</v>
      </c>
    </row>
    <row r="242" spans="1:11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8">
        <v>25</v>
      </c>
      <c r="I242" s="8">
        <v>75</v>
      </c>
      <c r="J242">
        <f t="shared" si="3"/>
        <v>75</v>
      </c>
      <c r="K242" t="str">
        <f>IF(Table2[[#This Row],[Calculated Total]]=Table2[[#This Row],[Total Amount]],"Correct","Check")</f>
        <v>Correct</v>
      </c>
    </row>
    <row r="243" spans="1:11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8">
        <v>25</v>
      </c>
      <c r="I243" s="8">
        <v>25</v>
      </c>
      <c r="J243">
        <f t="shared" si="3"/>
        <v>25</v>
      </c>
      <c r="K243" t="str">
        <f>IF(Table2[[#This Row],[Calculated Total]]=Table2[[#This Row],[Total Amount]],"Correct","Check")</f>
        <v>Correct</v>
      </c>
    </row>
    <row r="244" spans="1:11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8">
        <v>300</v>
      </c>
      <c r="I244" s="8">
        <v>900</v>
      </c>
      <c r="J244">
        <f t="shared" si="3"/>
        <v>900</v>
      </c>
      <c r="K244" t="str">
        <f>IF(Table2[[#This Row],[Calculated Total]]=Table2[[#This Row],[Total Amount]],"Correct","Check")</f>
        <v>Correct</v>
      </c>
    </row>
    <row r="245" spans="1:11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8">
        <v>50</v>
      </c>
      <c r="I245" s="8">
        <v>100</v>
      </c>
      <c r="J245">
        <f t="shared" si="3"/>
        <v>100</v>
      </c>
      <c r="K245" t="str">
        <f>IF(Table2[[#This Row],[Calculated Total]]=Table2[[#This Row],[Total Amount]],"Correct","Check")</f>
        <v>Correct</v>
      </c>
    </row>
    <row r="246" spans="1:11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8">
        <v>30</v>
      </c>
      <c r="I246" s="8">
        <v>90</v>
      </c>
      <c r="J246">
        <f t="shared" si="3"/>
        <v>90</v>
      </c>
      <c r="K246" t="str">
        <f>IF(Table2[[#This Row],[Calculated Total]]=Table2[[#This Row],[Total Amount]],"Correct","Check")</f>
        <v>Correct</v>
      </c>
    </row>
    <row r="247" spans="1:11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8">
        <v>25</v>
      </c>
      <c r="I247" s="8">
        <v>50</v>
      </c>
      <c r="J247">
        <f t="shared" si="3"/>
        <v>50</v>
      </c>
      <c r="K247" t="str">
        <f>IF(Table2[[#This Row],[Calculated Total]]=Table2[[#This Row],[Total Amount]],"Correct","Check")</f>
        <v>Correct</v>
      </c>
    </row>
    <row r="248" spans="1:11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8">
        <v>30</v>
      </c>
      <c r="I248" s="8">
        <v>60</v>
      </c>
      <c r="J248">
        <f t="shared" si="3"/>
        <v>60</v>
      </c>
      <c r="K248" t="str">
        <f>IF(Table2[[#This Row],[Calculated Total]]=Table2[[#This Row],[Total Amount]],"Correct","Check")</f>
        <v>Correct</v>
      </c>
    </row>
    <row r="249" spans="1:11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8">
        <v>300</v>
      </c>
      <c r="I249" s="8">
        <v>900</v>
      </c>
      <c r="J249">
        <f t="shared" si="3"/>
        <v>900</v>
      </c>
      <c r="K249" t="str">
        <f>IF(Table2[[#This Row],[Calculated Total]]=Table2[[#This Row],[Total Amount]],"Correct","Check")</f>
        <v>Correct</v>
      </c>
    </row>
    <row r="250" spans="1:11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8">
        <v>50</v>
      </c>
      <c r="I250" s="8">
        <v>50</v>
      </c>
      <c r="J250">
        <f t="shared" si="3"/>
        <v>50</v>
      </c>
      <c r="K250" t="str">
        <f>IF(Table2[[#This Row],[Calculated Total]]=Table2[[#This Row],[Total Amount]],"Correct","Check")</f>
        <v>Correct</v>
      </c>
    </row>
    <row r="251" spans="1:11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8">
        <v>50</v>
      </c>
      <c r="I251" s="8">
        <v>50</v>
      </c>
      <c r="J251">
        <f t="shared" si="3"/>
        <v>50</v>
      </c>
      <c r="K251" t="str">
        <f>IF(Table2[[#This Row],[Calculated Total]]=Table2[[#This Row],[Total Amount]],"Correct","Check")</f>
        <v>Correct</v>
      </c>
    </row>
    <row r="252" spans="1:11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8">
        <v>50</v>
      </c>
      <c r="I252" s="8">
        <v>200</v>
      </c>
      <c r="J252">
        <f t="shared" si="3"/>
        <v>200</v>
      </c>
      <c r="K252" t="str">
        <f>IF(Table2[[#This Row],[Calculated Total]]=Table2[[#This Row],[Total Amount]],"Correct","Check")</f>
        <v>Correct</v>
      </c>
    </row>
    <row r="253" spans="1:11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8">
        <v>300</v>
      </c>
      <c r="I253" s="8">
        <v>300</v>
      </c>
      <c r="J253">
        <f t="shared" si="3"/>
        <v>300</v>
      </c>
      <c r="K253" t="str">
        <f>IF(Table2[[#This Row],[Calculated Total]]=Table2[[#This Row],[Total Amount]],"Correct","Check")</f>
        <v>Correct</v>
      </c>
    </row>
    <row r="254" spans="1:11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8">
        <v>500</v>
      </c>
      <c r="I254" s="8">
        <v>2000</v>
      </c>
      <c r="J254">
        <f t="shared" si="3"/>
        <v>2000</v>
      </c>
      <c r="K254" t="str">
        <f>IF(Table2[[#This Row],[Calculated Total]]=Table2[[#This Row],[Total Amount]],"Correct","Check")</f>
        <v>Correct</v>
      </c>
    </row>
    <row r="255" spans="1:11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8">
        <v>500</v>
      </c>
      <c r="I255" s="8">
        <v>500</v>
      </c>
      <c r="J255">
        <f t="shared" si="3"/>
        <v>500</v>
      </c>
      <c r="K255" t="str">
        <f>IF(Table2[[#This Row],[Calculated Total]]=Table2[[#This Row],[Total Amount]],"Correct","Check")</f>
        <v>Correct</v>
      </c>
    </row>
    <row r="256" spans="1:11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8">
        <v>30</v>
      </c>
      <c r="I256" s="8">
        <v>30</v>
      </c>
      <c r="J256">
        <f t="shared" si="3"/>
        <v>30</v>
      </c>
      <c r="K256" t="str">
        <f>IF(Table2[[#This Row],[Calculated Total]]=Table2[[#This Row],[Total Amount]],"Correct","Check")</f>
        <v>Correct</v>
      </c>
    </row>
    <row r="257" spans="1:11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8">
        <v>500</v>
      </c>
      <c r="I257" s="8">
        <v>1000</v>
      </c>
      <c r="J257">
        <f t="shared" si="3"/>
        <v>1000</v>
      </c>
      <c r="K257" t="str">
        <f>IF(Table2[[#This Row],[Calculated Total]]=Table2[[#This Row],[Total Amount]],"Correct","Check")</f>
        <v>Correct</v>
      </c>
    </row>
    <row r="258" spans="1:11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8">
        <v>500</v>
      </c>
      <c r="I258" s="8">
        <v>2000</v>
      </c>
      <c r="J258">
        <f t="shared" ref="J258:J321" si="4">G:G*H:H</f>
        <v>2000</v>
      </c>
      <c r="K258" t="str">
        <f>IF(Table2[[#This Row],[Calculated Total]]=Table2[[#This Row],[Total Amount]],"Correct","Check")</f>
        <v>Correct</v>
      </c>
    </row>
    <row r="259" spans="1:11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8">
        <v>50</v>
      </c>
      <c r="I259" s="8">
        <v>50</v>
      </c>
      <c r="J259">
        <f t="shared" si="4"/>
        <v>50</v>
      </c>
      <c r="K259" t="str">
        <f>IF(Table2[[#This Row],[Calculated Total]]=Table2[[#This Row],[Total Amount]],"Correct","Check")</f>
        <v>Correct</v>
      </c>
    </row>
    <row r="260" spans="1:11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8">
        <v>50</v>
      </c>
      <c r="I260" s="8">
        <v>200</v>
      </c>
      <c r="J260">
        <f t="shared" si="4"/>
        <v>200</v>
      </c>
      <c r="K260" t="str">
        <f>IF(Table2[[#This Row],[Calculated Total]]=Table2[[#This Row],[Total Amount]],"Correct","Check")</f>
        <v>Correct</v>
      </c>
    </row>
    <row r="261" spans="1:11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8">
        <v>30</v>
      </c>
      <c r="I261" s="8">
        <v>60</v>
      </c>
      <c r="J261">
        <f t="shared" si="4"/>
        <v>60</v>
      </c>
      <c r="K261" t="str">
        <f>IF(Table2[[#This Row],[Calculated Total]]=Table2[[#This Row],[Total Amount]],"Correct","Check")</f>
        <v>Correct</v>
      </c>
    </row>
    <row r="262" spans="1:11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8">
        <v>25</v>
      </c>
      <c r="I262" s="8">
        <v>50</v>
      </c>
      <c r="J262">
        <f t="shared" si="4"/>
        <v>50</v>
      </c>
      <c r="K262" t="str">
        <f>IF(Table2[[#This Row],[Calculated Total]]=Table2[[#This Row],[Total Amount]],"Correct","Check")</f>
        <v>Correct</v>
      </c>
    </row>
    <row r="263" spans="1:11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8">
        <v>30</v>
      </c>
      <c r="I263" s="8">
        <v>120</v>
      </c>
      <c r="J263">
        <f t="shared" si="4"/>
        <v>120</v>
      </c>
      <c r="K263" t="str">
        <f>IF(Table2[[#This Row],[Calculated Total]]=Table2[[#This Row],[Total Amount]],"Correct","Check")</f>
        <v>Correct</v>
      </c>
    </row>
    <row r="264" spans="1:11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8">
        <v>30</v>
      </c>
      <c r="I264" s="8">
        <v>60</v>
      </c>
      <c r="J264">
        <f t="shared" si="4"/>
        <v>60</v>
      </c>
      <c r="K264" t="str">
        <f>IF(Table2[[#This Row],[Calculated Total]]=Table2[[#This Row],[Total Amount]],"Correct","Check")</f>
        <v>Correct</v>
      </c>
    </row>
    <row r="265" spans="1:11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8">
        <v>300</v>
      </c>
      <c r="I265" s="8">
        <v>900</v>
      </c>
      <c r="J265">
        <f t="shared" si="4"/>
        <v>900</v>
      </c>
      <c r="K265" t="str">
        <f>IF(Table2[[#This Row],[Calculated Total]]=Table2[[#This Row],[Total Amount]],"Correct","Check")</f>
        <v>Correct</v>
      </c>
    </row>
    <row r="266" spans="1:11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8">
        <v>300</v>
      </c>
      <c r="I266" s="8">
        <v>900</v>
      </c>
      <c r="J266">
        <f t="shared" si="4"/>
        <v>900</v>
      </c>
      <c r="K266" t="str">
        <f>IF(Table2[[#This Row],[Calculated Total]]=Table2[[#This Row],[Total Amount]],"Correct","Check")</f>
        <v>Correct</v>
      </c>
    </row>
    <row r="267" spans="1:11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8">
        <v>30</v>
      </c>
      <c r="I267" s="8">
        <v>60</v>
      </c>
      <c r="J267">
        <f t="shared" si="4"/>
        <v>60</v>
      </c>
      <c r="K267" t="str">
        <f>IF(Table2[[#This Row],[Calculated Total]]=Table2[[#This Row],[Total Amount]],"Correct","Check")</f>
        <v>Correct</v>
      </c>
    </row>
    <row r="268" spans="1:11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8">
        <v>30</v>
      </c>
      <c r="I268" s="8">
        <v>90</v>
      </c>
      <c r="J268">
        <f t="shared" si="4"/>
        <v>90</v>
      </c>
      <c r="K268" t="str">
        <f>IF(Table2[[#This Row],[Calculated Total]]=Table2[[#This Row],[Total Amount]],"Correct","Check")</f>
        <v>Correct</v>
      </c>
    </row>
    <row r="269" spans="1:11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8">
        <v>30</v>
      </c>
      <c r="I269" s="8">
        <v>30</v>
      </c>
      <c r="J269">
        <f t="shared" si="4"/>
        <v>30</v>
      </c>
      <c r="K269" t="str">
        <f>IF(Table2[[#This Row],[Calculated Total]]=Table2[[#This Row],[Total Amount]],"Correct","Check")</f>
        <v>Correct</v>
      </c>
    </row>
    <row r="270" spans="1:11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8">
        <v>500</v>
      </c>
      <c r="I270" s="8">
        <v>2000</v>
      </c>
      <c r="J270">
        <f t="shared" si="4"/>
        <v>2000</v>
      </c>
      <c r="K270" t="str">
        <f>IF(Table2[[#This Row],[Calculated Total]]=Table2[[#This Row],[Total Amount]],"Correct","Check")</f>
        <v>Correct</v>
      </c>
    </row>
    <row r="271" spans="1:11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8">
        <v>300</v>
      </c>
      <c r="I271" s="8">
        <v>300</v>
      </c>
      <c r="J271">
        <f t="shared" si="4"/>
        <v>300</v>
      </c>
      <c r="K271" t="str">
        <f>IF(Table2[[#This Row],[Calculated Total]]=Table2[[#This Row],[Total Amount]],"Correct","Check")</f>
        <v>Correct</v>
      </c>
    </row>
    <row r="272" spans="1:11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8">
        <v>30</v>
      </c>
      <c r="I272" s="8">
        <v>120</v>
      </c>
      <c r="J272">
        <f t="shared" si="4"/>
        <v>120</v>
      </c>
      <c r="K272" t="str">
        <f>IF(Table2[[#This Row],[Calculated Total]]=Table2[[#This Row],[Total Amount]],"Correct","Check")</f>
        <v>Correct</v>
      </c>
    </row>
    <row r="273" spans="1:11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8">
        <v>50</v>
      </c>
      <c r="I273" s="8">
        <v>100</v>
      </c>
      <c r="J273">
        <f t="shared" si="4"/>
        <v>100</v>
      </c>
      <c r="K273" t="str">
        <f>IF(Table2[[#This Row],[Calculated Total]]=Table2[[#This Row],[Total Amount]],"Correct","Check")</f>
        <v>Correct</v>
      </c>
    </row>
    <row r="274" spans="1:11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8">
        <v>50</v>
      </c>
      <c r="I274" s="8">
        <v>50</v>
      </c>
      <c r="J274">
        <f t="shared" si="4"/>
        <v>50</v>
      </c>
      <c r="K274" t="str">
        <f>IF(Table2[[#This Row],[Calculated Total]]=Table2[[#This Row],[Total Amount]],"Correct","Check")</f>
        <v>Correct</v>
      </c>
    </row>
    <row r="275" spans="1:11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8">
        <v>500</v>
      </c>
      <c r="I275" s="8">
        <v>1000</v>
      </c>
      <c r="J275">
        <f t="shared" si="4"/>
        <v>1000</v>
      </c>
      <c r="K275" t="str">
        <f>IF(Table2[[#This Row],[Calculated Total]]=Table2[[#This Row],[Total Amount]],"Correct","Check")</f>
        <v>Correct</v>
      </c>
    </row>
    <row r="276" spans="1:11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8">
        <v>500</v>
      </c>
      <c r="I276" s="8">
        <v>1000</v>
      </c>
      <c r="J276">
        <f t="shared" si="4"/>
        <v>1000</v>
      </c>
      <c r="K276" t="str">
        <f>IF(Table2[[#This Row],[Calculated Total]]=Table2[[#This Row],[Total Amount]],"Correct","Check")</f>
        <v>Correct</v>
      </c>
    </row>
    <row r="277" spans="1:11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8">
        <v>25</v>
      </c>
      <c r="I277" s="8">
        <v>100</v>
      </c>
      <c r="J277">
        <f t="shared" si="4"/>
        <v>100</v>
      </c>
      <c r="K277" t="str">
        <f>IF(Table2[[#This Row],[Calculated Total]]=Table2[[#This Row],[Total Amount]],"Correct","Check")</f>
        <v>Correct</v>
      </c>
    </row>
    <row r="278" spans="1:11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8">
        <v>25</v>
      </c>
      <c r="I278" s="8">
        <v>100</v>
      </c>
      <c r="J278">
        <f t="shared" si="4"/>
        <v>100</v>
      </c>
      <c r="K278" t="str">
        <f>IF(Table2[[#This Row],[Calculated Total]]=Table2[[#This Row],[Total Amount]],"Correct","Check")</f>
        <v>Correct</v>
      </c>
    </row>
    <row r="279" spans="1:11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8">
        <v>25</v>
      </c>
      <c r="I279" s="8">
        <v>100</v>
      </c>
      <c r="J279">
        <f t="shared" si="4"/>
        <v>100</v>
      </c>
      <c r="K279" t="str">
        <f>IF(Table2[[#This Row],[Calculated Total]]=Table2[[#This Row],[Total Amount]],"Correct","Check")</f>
        <v>Correct</v>
      </c>
    </row>
    <row r="280" spans="1:11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8">
        <v>500</v>
      </c>
      <c r="I280" s="8">
        <v>500</v>
      </c>
      <c r="J280">
        <f t="shared" si="4"/>
        <v>500</v>
      </c>
      <c r="K280" t="str">
        <f>IF(Table2[[#This Row],[Calculated Total]]=Table2[[#This Row],[Total Amount]],"Correct","Check")</f>
        <v>Correct</v>
      </c>
    </row>
    <row r="281" spans="1:11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8">
        <v>500</v>
      </c>
      <c r="I281" s="8">
        <v>1500</v>
      </c>
      <c r="J281">
        <f t="shared" si="4"/>
        <v>1500</v>
      </c>
      <c r="K281" t="str">
        <f>IF(Table2[[#This Row],[Calculated Total]]=Table2[[#This Row],[Total Amount]],"Correct","Check")</f>
        <v>Correct</v>
      </c>
    </row>
    <row r="282" spans="1:11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8">
        <v>500</v>
      </c>
      <c r="I282" s="8">
        <v>2000</v>
      </c>
      <c r="J282">
        <f t="shared" si="4"/>
        <v>2000</v>
      </c>
      <c r="K282" t="str">
        <f>IF(Table2[[#This Row],[Calculated Total]]=Table2[[#This Row],[Total Amount]],"Correct","Check")</f>
        <v>Correct</v>
      </c>
    </row>
    <row r="283" spans="1:11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8">
        <v>50</v>
      </c>
      <c r="I283" s="8">
        <v>200</v>
      </c>
      <c r="J283">
        <f t="shared" si="4"/>
        <v>200</v>
      </c>
      <c r="K283" t="str">
        <f>IF(Table2[[#This Row],[Calculated Total]]=Table2[[#This Row],[Total Amount]],"Correct","Check")</f>
        <v>Correct</v>
      </c>
    </row>
    <row r="284" spans="1:11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8">
        <v>500</v>
      </c>
      <c r="I284" s="8">
        <v>500</v>
      </c>
      <c r="J284">
        <f t="shared" si="4"/>
        <v>500</v>
      </c>
      <c r="K284" t="str">
        <f>IF(Table2[[#This Row],[Calculated Total]]=Table2[[#This Row],[Total Amount]],"Correct","Check")</f>
        <v>Correct</v>
      </c>
    </row>
    <row r="285" spans="1:11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8">
        <v>50</v>
      </c>
      <c r="I285" s="8">
        <v>200</v>
      </c>
      <c r="J285">
        <f t="shared" si="4"/>
        <v>200</v>
      </c>
      <c r="K285" t="str">
        <f>IF(Table2[[#This Row],[Calculated Total]]=Table2[[#This Row],[Total Amount]],"Correct","Check")</f>
        <v>Correct</v>
      </c>
    </row>
    <row r="286" spans="1:11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8">
        <v>25</v>
      </c>
      <c r="I286" s="8">
        <v>25</v>
      </c>
      <c r="J286">
        <f t="shared" si="4"/>
        <v>25</v>
      </c>
      <c r="K286" t="str">
        <f>IF(Table2[[#This Row],[Calculated Total]]=Table2[[#This Row],[Total Amount]],"Correct","Check")</f>
        <v>Correct</v>
      </c>
    </row>
    <row r="287" spans="1:11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8">
        <v>25</v>
      </c>
      <c r="I287" s="8">
        <v>50</v>
      </c>
      <c r="J287">
        <f t="shared" si="4"/>
        <v>50</v>
      </c>
      <c r="K287" t="str">
        <f>IF(Table2[[#This Row],[Calculated Total]]=Table2[[#This Row],[Total Amount]],"Correct","Check")</f>
        <v>Correct</v>
      </c>
    </row>
    <row r="288" spans="1:11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8">
        <v>25</v>
      </c>
      <c r="I288" s="8">
        <v>100</v>
      </c>
      <c r="J288">
        <f t="shared" si="4"/>
        <v>100</v>
      </c>
      <c r="K288" t="str">
        <f>IF(Table2[[#This Row],[Calculated Total]]=Table2[[#This Row],[Total Amount]],"Correct","Check")</f>
        <v>Correct</v>
      </c>
    </row>
    <row r="289" spans="1:11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8">
        <v>30</v>
      </c>
      <c r="I289" s="8">
        <v>120</v>
      </c>
      <c r="J289">
        <f t="shared" si="4"/>
        <v>120</v>
      </c>
      <c r="K289" t="str">
        <f>IF(Table2[[#This Row],[Calculated Total]]=Table2[[#This Row],[Total Amount]],"Correct","Check")</f>
        <v>Correct</v>
      </c>
    </row>
    <row r="290" spans="1:11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8">
        <v>30</v>
      </c>
      <c r="I290" s="8">
        <v>60</v>
      </c>
      <c r="J290">
        <f t="shared" si="4"/>
        <v>60</v>
      </c>
      <c r="K290" t="str">
        <f>IF(Table2[[#This Row],[Calculated Total]]=Table2[[#This Row],[Total Amount]],"Correct","Check")</f>
        <v>Correct</v>
      </c>
    </row>
    <row r="291" spans="1:11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8">
        <v>300</v>
      </c>
      <c r="I291" s="8">
        <v>600</v>
      </c>
      <c r="J291">
        <f t="shared" si="4"/>
        <v>600</v>
      </c>
      <c r="K291" t="str">
        <f>IF(Table2[[#This Row],[Calculated Total]]=Table2[[#This Row],[Total Amount]],"Correct","Check")</f>
        <v>Correct</v>
      </c>
    </row>
    <row r="292" spans="1:11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8">
        <v>300</v>
      </c>
      <c r="I292" s="8">
        <v>600</v>
      </c>
      <c r="J292">
        <f t="shared" si="4"/>
        <v>600</v>
      </c>
      <c r="K292" t="str">
        <f>IF(Table2[[#This Row],[Calculated Total]]=Table2[[#This Row],[Total Amount]],"Correct","Check")</f>
        <v>Correct</v>
      </c>
    </row>
    <row r="293" spans="1:11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8">
        <v>300</v>
      </c>
      <c r="I293" s="8">
        <v>1200</v>
      </c>
      <c r="J293">
        <f t="shared" si="4"/>
        <v>1200</v>
      </c>
      <c r="K293" t="str">
        <f>IF(Table2[[#This Row],[Calculated Total]]=Table2[[#This Row],[Total Amount]],"Correct","Check")</f>
        <v>Correct</v>
      </c>
    </row>
    <row r="294" spans="1:11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8">
        <v>30</v>
      </c>
      <c r="I294" s="8">
        <v>90</v>
      </c>
      <c r="J294">
        <f t="shared" si="4"/>
        <v>90</v>
      </c>
      <c r="K294" t="str">
        <f>IF(Table2[[#This Row],[Calculated Total]]=Table2[[#This Row],[Total Amount]],"Correct","Check")</f>
        <v>Correct</v>
      </c>
    </row>
    <row r="295" spans="1:11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8">
        <v>30</v>
      </c>
      <c r="I295" s="8">
        <v>90</v>
      </c>
      <c r="J295">
        <f t="shared" si="4"/>
        <v>90</v>
      </c>
      <c r="K295" t="str">
        <f>IF(Table2[[#This Row],[Calculated Total]]=Table2[[#This Row],[Total Amount]],"Correct","Check")</f>
        <v>Correct</v>
      </c>
    </row>
    <row r="296" spans="1:11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8">
        <v>300</v>
      </c>
      <c r="I296" s="8">
        <v>900</v>
      </c>
      <c r="J296">
        <f t="shared" si="4"/>
        <v>900</v>
      </c>
      <c r="K296" t="str">
        <f>IF(Table2[[#This Row],[Calculated Total]]=Table2[[#This Row],[Total Amount]],"Correct","Check")</f>
        <v>Correct</v>
      </c>
    </row>
    <row r="297" spans="1:11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8">
        <v>300</v>
      </c>
      <c r="I297" s="8">
        <v>1200</v>
      </c>
      <c r="J297">
        <f t="shared" si="4"/>
        <v>1200</v>
      </c>
      <c r="K297" t="str">
        <f>IF(Table2[[#This Row],[Calculated Total]]=Table2[[#This Row],[Total Amount]],"Correct","Check")</f>
        <v>Correct</v>
      </c>
    </row>
    <row r="298" spans="1:11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8">
        <v>500</v>
      </c>
      <c r="I298" s="8">
        <v>1000</v>
      </c>
      <c r="J298">
        <f t="shared" si="4"/>
        <v>1000</v>
      </c>
      <c r="K298" t="str">
        <f>IF(Table2[[#This Row],[Calculated Total]]=Table2[[#This Row],[Total Amount]],"Correct","Check")</f>
        <v>Correct</v>
      </c>
    </row>
    <row r="299" spans="1:11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8">
        <v>300</v>
      </c>
      <c r="I299" s="8">
        <v>1200</v>
      </c>
      <c r="J299">
        <f t="shared" si="4"/>
        <v>1200</v>
      </c>
      <c r="K299" t="str">
        <f>IF(Table2[[#This Row],[Calculated Total]]=Table2[[#This Row],[Total Amount]],"Correct","Check")</f>
        <v>Correct</v>
      </c>
    </row>
    <row r="300" spans="1:11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8">
        <v>500</v>
      </c>
      <c r="I300" s="8">
        <v>1000</v>
      </c>
      <c r="J300">
        <f t="shared" si="4"/>
        <v>1000</v>
      </c>
      <c r="K300" t="str">
        <f>IF(Table2[[#This Row],[Calculated Total]]=Table2[[#This Row],[Total Amount]],"Correct","Check")</f>
        <v>Correct</v>
      </c>
    </row>
    <row r="301" spans="1:11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8">
        <v>50</v>
      </c>
      <c r="I301" s="8">
        <v>200</v>
      </c>
      <c r="J301">
        <f t="shared" si="4"/>
        <v>200</v>
      </c>
      <c r="K301" t="str">
        <f>IF(Table2[[#This Row],[Calculated Total]]=Table2[[#This Row],[Total Amount]],"Correct","Check")</f>
        <v>Correct</v>
      </c>
    </row>
    <row r="302" spans="1:11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8">
        <v>30</v>
      </c>
      <c r="I302" s="8">
        <v>120</v>
      </c>
      <c r="J302">
        <f t="shared" si="4"/>
        <v>120</v>
      </c>
      <c r="K302" t="str">
        <f>IF(Table2[[#This Row],[Calculated Total]]=Table2[[#This Row],[Total Amount]],"Correct","Check")</f>
        <v>Correct</v>
      </c>
    </row>
    <row r="303" spans="1:11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8">
        <v>300</v>
      </c>
      <c r="I303" s="8">
        <v>600</v>
      </c>
      <c r="J303">
        <f t="shared" si="4"/>
        <v>600</v>
      </c>
      <c r="K303" t="str">
        <f>IF(Table2[[#This Row],[Calculated Total]]=Table2[[#This Row],[Total Amount]],"Correct","Check")</f>
        <v>Correct</v>
      </c>
    </row>
    <row r="304" spans="1:11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8">
        <v>30</v>
      </c>
      <c r="I304" s="8">
        <v>90</v>
      </c>
      <c r="J304">
        <f t="shared" si="4"/>
        <v>90</v>
      </c>
      <c r="K304" t="str">
        <f>IF(Table2[[#This Row],[Calculated Total]]=Table2[[#This Row],[Total Amount]],"Correct","Check")</f>
        <v>Correct</v>
      </c>
    </row>
    <row r="305" spans="1:11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8">
        <v>30</v>
      </c>
      <c r="I305" s="8">
        <v>60</v>
      </c>
      <c r="J305">
        <f t="shared" si="4"/>
        <v>60</v>
      </c>
      <c r="K305" t="str">
        <f>IF(Table2[[#This Row],[Calculated Total]]=Table2[[#This Row],[Total Amount]],"Correct","Check")</f>
        <v>Correct</v>
      </c>
    </row>
    <row r="306" spans="1:11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8">
        <v>30</v>
      </c>
      <c r="I306" s="8">
        <v>30</v>
      </c>
      <c r="J306">
        <f t="shared" si="4"/>
        <v>30</v>
      </c>
      <c r="K306" t="str">
        <f>IF(Table2[[#This Row],[Calculated Total]]=Table2[[#This Row],[Total Amount]],"Correct","Check")</f>
        <v>Correct</v>
      </c>
    </row>
    <row r="307" spans="1:11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8">
        <v>50</v>
      </c>
      <c r="I307" s="8">
        <v>50</v>
      </c>
      <c r="J307">
        <f t="shared" si="4"/>
        <v>50</v>
      </c>
      <c r="K307" t="str">
        <f>IF(Table2[[#This Row],[Calculated Total]]=Table2[[#This Row],[Total Amount]],"Correct","Check")</f>
        <v>Correct</v>
      </c>
    </row>
    <row r="308" spans="1:11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8">
        <v>25</v>
      </c>
      <c r="I308" s="8">
        <v>50</v>
      </c>
      <c r="J308">
        <f t="shared" si="4"/>
        <v>50</v>
      </c>
      <c r="K308" t="str">
        <f>IF(Table2[[#This Row],[Calculated Total]]=Table2[[#This Row],[Total Amount]],"Correct","Check")</f>
        <v>Correct</v>
      </c>
    </row>
    <row r="309" spans="1:11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8">
        <v>300</v>
      </c>
      <c r="I309" s="8">
        <v>1200</v>
      </c>
      <c r="J309">
        <f t="shared" si="4"/>
        <v>1200</v>
      </c>
      <c r="K309" t="str">
        <f>IF(Table2[[#This Row],[Calculated Total]]=Table2[[#This Row],[Total Amount]],"Correct","Check")</f>
        <v>Correct</v>
      </c>
    </row>
    <row r="310" spans="1:11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8">
        <v>25</v>
      </c>
      <c r="I310" s="8">
        <v>25</v>
      </c>
      <c r="J310">
        <f t="shared" si="4"/>
        <v>25</v>
      </c>
      <c r="K310" t="str">
        <f>IF(Table2[[#This Row],[Calculated Total]]=Table2[[#This Row],[Total Amount]],"Correct","Check")</f>
        <v>Correct</v>
      </c>
    </row>
    <row r="311" spans="1:11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8">
        <v>25</v>
      </c>
      <c r="I311" s="8">
        <v>25</v>
      </c>
      <c r="J311">
        <f t="shared" si="4"/>
        <v>25</v>
      </c>
      <c r="K311" t="str">
        <f>IF(Table2[[#This Row],[Calculated Total]]=Table2[[#This Row],[Total Amount]],"Correct","Check")</f>
        <v>Correct</v>
      </c>
    </row>
    <row r="312" spans="1:11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8">
        <v>25</v>
      </c>
      <c r="I312" s="8">
        <v>100</v>
      </c>
      <c r="J312">
        <f t="shared" si="4"/>
        <v>100</v>
      </c>
      <c r="K312" t="str">
        <f>IF(Table2[[#This Row],[Calculated Total]]=Table2[[#This Row],[Total Amount]],"Correct","Check")</f>
        <v>Correct</v>
      </c>
    </row>
    <row r="313" spans="1:11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8">
        <v>30</v>
      </c>
      <c r="I313" s="8">
        <v>120</v>
      </c>
      <c r="J313">
        <f t="shared" si="4"/>
        <v>120</v>
      </c>
      <c r="K313" t="str">
        <f>IF(Table2[[#This Row],[Calculated Total]]=Table2[[#This Row],[Total Amount]],"Correct","Check")</f>
        <v>Correct</v>
      </c>
    </row>
    <row r="314" spans="1:11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8">
        <v>500</v>
      </c>
      <c r="I314" s="8">
        <v>1500</v>
      </c>
      <c r="J314">
        <f t="shared" si="4"/>
        <v>1500</v>
      </c>
      <c r="K314" t="str">
        <f>IF(Table2[[#This Row],[Calculated Total]]=Table2[[#This Row],[Total Amount]],"Correct","Check")</f>
        <v>Correct</v>
      </c>
    </row>
    <row r="315" spans="1:11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8">
        <v>30</v>
      </c>
      <c r="I315" s="8">
        <v>120</v>
      </c>
      <c r="J315">
        <f t="shared" si="4"/>
        <v>120</v>
      </c>
      <c r="K315" t="str">
        <f>IF(Table2[[#This Row],[Calculated Total]]=Table2[[#This Row],[Total Amount]],"Correct","Check")</f>
        <v>Correct</v>
      </c>
    </row>
    <row r="316" spans="1:11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8">
        <v>30</v>
      </c>
      <c r="I316" s="8">
        <v>60</v>
      </c>
      <c r="J316">
        <f t="shared" si="4"/>
        <v>60</v>
      </c>
      <c r="K316" t="str">
        <f>IF(Table2[[#This Row],[Calculated Total]]=Table2[[#This Row],[Total Amount]],"Correct","Check")</f>
        <v>Correct</v>
      </c>
    </row>
    <row r="317" spans="1:11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8">
        <v>25</v>
      </c>
      <c r="I317" s="8">
        <v>50</v>
      </c>
      <c r="J317">
        <f t="shared" si="4"/>
        <v>50</v>
      </c>
      <c r="K317" t="str">
        <f>IF(Table2[[#This Row],[Calculated Total]]=Table2[[#This Row],[Total Amount]],"Correct","Check")</f>
        <v>Correct</v>
      </c>
    </row>
    <row r="318" spans="1:11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8">
        <v>30</v>
      </c>
      <c r="I318" s="8">
        <v>90</v>
      </c>
      <c r="J318">
        <f t="shared" si="4"/>
        <v>90</v>
      </c>
      <c r="K318" t="str">
        <f>IF(Table2[[#This Row],[Calculated Total]]=Table2[[#This Row],[Total Amount]],"Correct","Check")</f>
        <v>Correct</v>
      </c>
    </row>
    <row r="319" spans="1:11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8">
        <v>25</v>
      </c>
      <c r="I319" s="8">
        <v>25</v>
      </c>
      <c r="J319">
        <f t="shared" si="4"/>
        <v>25</v>
      </c>
      <c r="K319" t="str">
        <f>IF(Table2[[#This Row],[Calculated Total]]=Table2[[#This Row],[Total Amount]],"Correct","Check")</f>
        <v>Correct</v>
      </c>
    </row>
    <row r="320" spans="1:11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8">
        <v>500</v>
      </c>
      <c r="I320" s="8">
        <v>500</v>
      </c>
      <c r="J320">
        <f t="shared" si="4"/>
        <v>500</v>
      </c>
      <c r="K320" t="str">
        <f>IF(Table2[[#This Row],[Calculated Total]]=Table2[[#This Row],[Total Amount]],"Correct","Check")</f>
        <v>Correct</v>
      </c>
    </row>
    <row r="321" spans="1:11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8">
        <v>300</v>
      </c>
      <c r="I321" s="8">
        <v>1200</v>
      </c>
      <c r="J321">
        <f t="shared" si="4"/>
        <v>1200</v>
      </c>
      <c r="K321" t="str">
        <f>IF(Table2[[#This Row],[Calculated Total]]=Table2[[#This Row],[Total Amount]],"Correct","Check")</f>
        <v>Correct</v>
      </c>
    </row>
    <row r="322" spans="1:11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8">
        <v>25</v>
      </c>
      <c r="I322" s="8">
        <v>50</v>
      </c>
      <c r="J322">
        <f t="shared" ref="J322:J385" si="5">G:G*H:H</f>
        <v>50</v>
      </c>
      <c r="K322" t="str">
        <f>IF(Table2[[#This Row],[Calculated Total]]=Table2[[#This Row],[Total Amount]],"Correct","Check")</f>
        <v>Correct</v>
      </c>
    </row>
    <row r="323" spans="1:11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8">
        <v>500</v>
      </c>
      <c r="I323" s="8">
        <v>500</v>
      </c>
      <c r="J323">
        <f t="shared" si="5"/>
        <v>500</v>
      </c>
      <c r="K323" t="str">
        <f>IF(Table2[[#This Row],[Calculated Total]]=Table2[[#This Row],[Total Amount]],"Correct","Check")</f>
        <v>Correct</v>
      </c>
    </row>
    <row r="324" spans="1:11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8">
        <v>300</v>
      </c>
      <c r="I324" s="8">
        <v>900</v>
      </c>
      <c r="J324">
        <f t="shared" si="5"/>
        <v>900</v>
      </c>
      <c r="K324" t="str">
        <f>IF(Table2[[#This Row],[Calculated Total]]=Table2[[#This Row],[Total Amount]],"Correct","Check")</f>
        <v>Correct</v>
      </c>
    </row>
    <row r="325" spans="1:11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8">
        <v>50</v>
      </c>
      <c r="I325" s="8">
        <v>150</v>
      </c>
      <c r="J325">
        <f t="shared" si="5"/>
        <v>150</v>
      </c>
      <c r="K325" t="str">
        <f>IF(Table2[[#This Row],[Calculated Total]]=Table2[[#This Row],[Total Amount]],"Correct","Check")</f>
        <v>Correct</v>
      </c>
    </row>
    <row r="326" spans="1:11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8">
        <v>25</v>
      </c>
      <c r="I326" s="8">
        <v>50</v>
      </c>
      <c r="J326">
        <f t="shared" si="5"/>
        <v>50</v>
      </c>
      <c r="K326" t="str">
        <f>IF(Table2[[#This Row],[Calculated Total]]=Table2[[#This Row],[Total Amount]],"Correct","Check")</f>
        <v>Correct</v>
      </c>
    </row>
    <row r="327" spans="1:11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8">
        <v>25</v>
      </c>
      <c r="I327" s="8">
        <v>75</v>
      </c>
      <c r="J327">
        <f t="shared" si="5"/>
        <v>75</v>
      </c>
      <c r="K327" t="str">
        <f>IF(Table2[[#This Row],[Calculated Total]]=Table2[[#This Row],[Total Amount]],"Correct","Check")</f>
        <v>Correct</v>
      </c>
    </row>
    <row r="328" spans="1:11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8">
        <v>50</v>
      </c>
      <c r="I328" s="8">
        <v>150</v>
      </c>
      <c r="J328">
        <f t="shared" si="5"/>
        <v>150</v>
      </c>
      <c r="K328" t="str">
        <f>IF(Table2[[#This Row],[Calculated Total]]=Table2[[#This Row],[Total Amount]],"Correct","Check")</f>
        <v>Correct</v>
      </c>
    </row>
    <row r="329" spans="1:11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8">
        <v>50</v>
      </c>
      <c r="I329" s="8">
        <v>100</v>
      </c>
      <c r="J329">
        <f t="shared" si="5"/>
        <v>100</v>
      </c>
      <c r="K329" t="str">
        <f>IF(Table2[[#This Row],[Calculated Total]]=Table2[[#This Row],[Total Amount]],"Correct","Check")</f>
        <v>Correct</v>
      </c>
    </row>
    <row r="330" spans="1:11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8">
        <v>25</v>
      </c>
      <c r="I330" s="8">
        <v>100</v>
      </c>
      <c r="J330">
        <f t="shared" si="5"/>
        <v>100</v>
      </c>
      <c r="K330" t="str">
        <f>IF(Table2[[#This Row],[Calculated Total]]=Table2[[#This Row],[Total Amount]],"Correct","Check")</f>
        <v>Correct</v>
      </c>
    </row>
    <row r="331" spans="1:11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8">
        <v>50</v>
      </c>
      <c r="I331" s="8">
        <v>200</v>
      </c>
      <c r="J331">
        <f t="shared" si="5"/>
        <v>200</v>
      </c>
      <c r="K331" t="str">
        <f>IF(Table2[[#This Row],[Calculated Total]]=Table2[[#This Row],[Total Amount]],"Correct","Check")</f>
        <v>Correct</v>
      </c>
    </row>
    <row r="332" spans="1:11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8">
        <v>30</v>
      </c>
      <c r="I332" s="8">
        <v>90</v>
      </c>
      <c r="J332">
        <f t="shared" si="5"/>
        <v>90</v>
      </c>
      <c r="K332" t="str">
        <f>IF(Table2[[#This Row],[Calculated Total]]=Table2[[#This Row],[Total Amount]],"Correct","Check")</f>
        <v>Correct</v>
      </c>
    </row>
    <row r="333" spans="1:11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8">
        <v>300</v>
      </c>
      <c r="I333" s="8">
        <v>1200</v>
      </c>
      <c r="J333">
        <f t="shared" si="5"/>
        <v>1200</v>
      </c>
      <c r="K333" t="str">
        <f>IF(Table2[[#This Row],[Calculated Total]]=Table2[[#This Row],[Total Amount]],"Correct","Check")</f>
        <v>Correct</v>
      </c>
    </row>
    <row r="334" spans="1:11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8">
        <v>300</v>
      </c>
      <c r="I334" s="8">
        <v>1200</v>
      </c>
      <c r="J334">
        <f t="shared" si="5"/>
        <v>1200</v>
      </c>
      <c r="K334" t="str">
        <f>IF(Table2[[#This Row],[Calculated Total]]=Table2[[#This Row],[Total Amount]],"Correct","Check")</f>
        <v>Correct</v>
      </c>
    </row>
    <row r="335" spans="1:11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8">
        <v>300</v>
      </c>
      <c r="I335" s="8">
        <v>900</v>
      </c>
      <c r="J335">
        <f t="shared" si="5"/>
        <v>900</v>
      </c>
      <c r="K335" t="str">
        <f>IF(Table2[[#This Row],[Calculated Total]]=Table2[[#This Row],[Total Amount]],"Correct","Check")</f>
        <v>Correct</v>
      </c>
    </row>
    <row r="336" spans="1:11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8">
        <v>30</v>
      </c>
      <c r="I336" s="8">
        <v>120</v>
      </c>
      <c r="J336">
        <f t="shared" si="5"/>
        <v>120</v>
      </c>
      <c r="K336" t="str">
        <f>IF(Table2[[#This Row],[Calculated Total]]=Table2[[#This Row],[Total Amount]],"Correct","Check")</f>
        <v>Correct</v>
      </c>
    </row>
    <row r="337" spans="1:11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8">
        <v>50</v>
      </c>
      <c r="I337" s="8">
        <v>150</v>
      </c>
      <c r="J337">
        <f t="shared" si="5"/>
        <v>150</v>
      </c>
      <c r="K337" t="str">
        <f>IF(Table2[[#This Row],[Calculated Total]]=Table2[[#This Row],[Total Amount]],"Correct","Check")</f>
        <v>Correct</v>
      </c>
    </row>
    <row r="338" spans="1:11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8">
        <v>500</v>
      </c>
      <c r="I338" s="8">
        <v>500</v>
      </c>
      <c r="J338">
        <f t="shared" si="5"/>
        <v>500</v>
      </c>
      <c r="K338" t="str">
        <f>IF(Table2[[#This Row],[Calculated Total]]=Table2[[#This Row],[Total Amount]],"Correct","Check")</f>
        <v>Correct</v>
      </c>
    </row>
    <row r="339" spans="1:11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8">
        <v>50</v>
      </c>
      <c r="I339" s="8">
        <v>100</v>
      </c>
      <c r="J339">
        <f t="shared" si="5"/>
        <v>100</v>
      </c>
      <c r="K339" t="str">
        <f>IF(Table2[[#This Row],[Calculated Total]]=Table2[[#This Row],[Total Amount]],"Correct","Check")</f>
        <v>Correct</v>
      </c>
    </row>
    <row r="340" spans="1:11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8">
        <v>25</v>
      </c>
      <c r="I340" s="8">
        <v>50</v>
      </c>
      <c r="J340">
        <f t="shared" si="5"/>
        <v>50</v>
      </c>
      <c r="K340" t="str">
        <f>IF(Table2[[#This Row],[Calculated Total]]=Table2[[#This Row],[Total Amount]],"Correct","Check")</f>
        <v>Correct</v>
      </c>
    </row>
    <row r="341" spans="1:11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8">
        <v>300</v>
      </c>
      <c r="I341" s="8">
        <v>1200</v>
      </c>
      <c r="J341">
        <f t="shared" si="5"/>
        <v>1200</v>
      </c>
      <c r="K341" t="str">
        <f>IF(Table2[[#This Row],[Calculated Total]]=Table2[[#This Row],[Total Amount]],"Correct","Check")</f>
        <v>Correct</v>
      </c>
    </row>
    <row r="342" spans="1:11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8">
        <v>50</v>
      </c>
      <c r="I342" s="8">
        <v>200</v>
      </c>
      <c r="J342">
        <f t="shared" si="5"/>
        <v>200</v>
      </c>
      <c r="K342" t="str">
        <f>IF(Table2[[#This Row],[Calculated Total]]=Table2[[#This Row],[Total Amount]],"Correct","Check")</f>
        <v>Correct</v>
      </c>
    </row>
    <row r="343" spans="1:11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8">
        <v>500</v>
      </c>
      <c r="I343" s="8">
        <v>2000</v>
      </c>
      <c r="J343">
        <f t="shared" si="5"/>
        <v>2000</v>
      </c>
      <c r="K343" t="str">
        <f>IF(Table2[[#This Row],[Calculated Total]]=Table2[[#This Row],[Total Amount]],"Correct","Check")</f>
        <v>Correct</v>
      </c>
    </row>
    <row r="344" spans="1:11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8">
        <v>25</v>
      </c>
      <c r="I344" s="8">
        <v>50</v>
      </c>
      <c r="J344">
        <f t="shared" si="5"/>
        <v>50</v>
      </c>
      <c r="K344" t="str">
        <f>IF(Table2[[#This Row],[Calculated Total]]=Table2[[#This Row],[Total Amount]],"Correct","Check")</f>
        <v>Correct</v>
      </c>
    </row>
    <row r="345" spans="1:11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8">
        <v>30</v>
      </c>
      <c r="I345" s="8">
        <v>30</v>
      </c>
      <c r="J345">
        <f t="shared" si="5"/>
        <v>30</v>
      </c>
      <c r="K345" t="str">
        <f>IF(Table2[[#This Row],[Calculated Total]]=Table2[[#This Row],[Total Amount]],"Correct","Check")</f>
        <v>Correct</v>
      </c>
    </row>
    <row r="346" spans="1:11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8">
        <v>30</v>
      </c>
      <c r="I346" s="8">
        <v>30</v>
      </c>
      <c r="J346">
        <f t="shared" si="5"/>
        <v>30</v>
      </c>
      <c r="K346" t="str">
        <f>IF(Table2[[#This Row],[Calculated Total]]=Table2[[#This Row],[Total Amount]],"Correct","Check")</f>
        <v>Correct</v>
      </c>
    </row>
    <row r="347" spans="1:11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8">
        <v>500</v>
      </c>
      <c r="I347" s="8">
        <v>1000</v>
      </c>
      <c r="J347">
        <f t="shared" si="5"/>
        <v>1000</v>
      </c>
      <c r="K347" t="str">
        <f>IF(Table2[[#This Row],[Calculated Total]]=Table2[[#This Row],[Total Amount]],"Correct","Check")</f>
        <v>Correct</v>
      </c>
    </row>
    <row r="348" spans="1:11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8">
        <v>25</v>
      </c>
      <c r="I348" s="8">
        <v>25</v>
      </c>
      <c r="J348">
        <f t="shared" si="5"/>
        <v>25</v>
      </c>
      <c r="K348" t="str">
        <f>IF(Table2[[#This Row],[Calculated Total]]=Table2[[#This Row],[Total Amount]],"Correct","Check")</f>
        <v>Correct</v>
      </c>
    </row>
    <row r="349" spans="1:11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8">
        <v>300</v>
      </c>
      <c r="I349" s="8">
        <v>600</v>
      </c>
      <c r="J349">
        <f t="shared" si="5"/>
        <v>600</v>
      </c>
      <c r="K349" t="str">
        <f>IF(Table2[[#This Row],[Calculated Total]]=Table2[[#This Row],[Total Amount]],"Correct","Check")</f>
        <v>Correct</v>
      </c>
    </row>
    <row r="350" spans="1:11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8">
        <v>50</v>
      </c>
      <c r="I350" s="8">
        <v>50</v>
      </c>
      <c r="J350">
        <f t="shared" si="5"/>
        <v>50</v>
      </c>
      <c r="K350" t="str">
        <f>IF(Table2[[#This Row],[Calculated Total]]=Table2[[#This Row],[Total Amount]],"Correct","Check")</f>
        <v>Correct</v>
      </c>
    </row>
    <row r="351" spans="1:11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8">
        <v>25</v>
      </c>
      <c r="I351" s="8">
        <v>75</v>
      </c>
      <c r="J351">
        <f t="shared" si="5"/>
        <v>75</v>
      </c>
      <c r="K351" t="str">
        <f>IF(Table2[[#This Row],[Calculated Total]]=Table2[[#This Row],[Total Amount]],"Correct","Check")</f>
        <v>Correct</v>
      </c>
    </row>
    <row r="352" spans="1:11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8">
        <v>30</v>
      </c>
      <c r="I352" s="8">
        <v>90</v>
      </c>
      <c r="J352">
        <f t="shared" si="5"/>
        <v>90</v>
      </c>
      <c r="K352" t="str">
        <f>IF(Table2[[#This Row],[Calculated Total]]=Table2[[#This Row],[Total Amount]],"Correct","Check")</f>
        <v>Correct</v>
      </c>
    </row>
    <row r="353" spans="1:11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8">
        <v>500</v>
      </c>
      <c r="I353" s="8">
        <v>1000</v>
      </c>
      <c r="J353">
        <f t="shared" si="5"/>
        <v>1000</v>
      </c>
      <c r="K353" t="str">
        <f>IF(Table2[[#This Row],[Calculated Total]]=Table2[[#This Row],[Total Amount]],"Correct","Check")</f>
        <v>Correct</v>
      </c>
    </row>
    <row r="354" spans="1:11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8">
        <v>500</v>
      </c>
      <c r="I354" s="8">
        <v>500</v>
      </c>
      <c r="J354">
        <f t="shared" si="5"/>
        <v>500</v>
      </c>
      <c r="K354" t="str">
        <f>IF(Table2[[#This Row],[Calculated Total]]=Table2[[#This Row],[Total Amount]],"Correct","Check")</f>
        <v>Correct</v>
      </c>
    </row>
    <row r="355" spans="1:11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8">
        <v>50</v>
      </c>
      <c r="I355" s="8">
        <v>200</v>
      </c>
      <c r="J355">
        <f t="shared" si="5"/>
        <v>200</v>
      </c>
      <c r="K355" t="str">
        <f>IF(Table2[[#This Row],[Calculated Total]]=Table2[[#This Row],[Total Amount]],"Correct","Check")</f>
        <v>Correct</v>
      </c>
    </row>
    <row r="356" spans="1:11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8">
        <v>500</v>
      </c>
      <c r="I356" s="8">
        <v>500</v>
      </c>
      <c r="J356">
        <f t="shared" si="5"/>
        <v>500</v>
      </c>
      <c r="K356" t="str">
        <f>IF(Table2[[#This Row],[Calculated Total]]=Table2[[#This Row],[Total Amount]],"Correct","Check")</f>
        <v>Correct</v>
      </c>
    </row>
    <row r="357" spans="1:11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8">
        <v>500</v>
      </c>
      <c r="I357" s="8">
        <v>1500</v>
      </c>
      <c r="J357">
        <f t="shared" si="5"/>
        <v>1500</v>
      </c>
      <c r="K357" t="str">
        <f>IF(Table2[[#This Row],[Calculated Total]]=Table2[[#This Row],[Total Amount]],"Correct","Check")</f>
        <v>Correct</v>
      </c>
    </row>
    <row r="358" spans="1:11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8">
        <v>25</v>
      </c>
      <c r="I358" s="8">
        <v>75</v>
      </c>
      <c r="J358">
        <f t="shared" si="5"/>
        <v>75</v>
      </c>
      <c r="K358" t="str">
        <f>IF(Table2[[#This Row],[Calculated Total]]=Table2[[#This Row],[Total Amount]],"Correct","Check")</f>
        <v>Correct</v>
      </c>
    </row>
    <row r="359" spans="1:11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8">
        <v>300</v>
      </c>
      <c r="I359" s="8">
        <v>300</v>
      </c>
      <c r="J359">
        <f t="shared" si="5"/>
        <v>300</v>
      </c>
      <c r="K359" t="str">
        <f>IF(Table2[[#This Row],[Calculated Total]]=Table2[[#This Row],[Total Amount]],"Correct","Check")</f>
        <v>Correct</v>
      </c>
    </row>
    <row r="360" spans="1:11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8">
        <v>50</v>
      </c>
      <c r="I360" s="8">
        <v>50</v>
      </c>
      <c r="J360">
        <f t="shared" si="5"/>
        <v>50</v>
      </c>
      <c r="K360" t="str">
        <f>IF(Table2[[#This Row],[Calculated Total]]=Table2[[#This Row],[Total Amount]],"Correct","Check")</f>
        <v>Correct</v>
      </c>
    </row>
    <row r="361" spans="1:11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8">
        <v>25</v>
      </c>
      <c r="I361" s="8">
        <v>100</v>
      </c>
      <c r="J361">
        <f t="shared" si="5"/>
        <v>100</v>
      </c>
      <c r="K361" t="str">
        <f>IF(Table2[[#This Row],[Calculated Total]]=Table2[[#This Row],[Total Amount]],"Correct","Check")</f>
        <v>Correct</v>
      </c>
    </row>
    <row r="362" spans="1:11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8">
        <v>300</v>
      </c>
      <c r="I362" s="8">
        <v>1200</v>
      </c>
      <c r="J362">
        <f t="shared" si="5"/>
        <v>1200</v>
      </c>
      <c r="K362" t="str">
        <f>IF(Table2[[#This Row],[Calculated Total]]=Table2[[#This Row],[Total Amount]],"Correct","Check")</f>
        <v>Correct</v>
      </c>
    </row>
    <row r="363" spans="1:11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8">
        <v>25</v>
      </c>
      <c r="I363" s="8">
        <v>25</v>
      </c>
      <c r="J363">
        <f t="shared" si="5"/>
        <v>25</v>
      </c>
      <c r="K363" t="str">
        <f>IF(Table2[[#This Row],[Calculated Total]]=Table2[[#This Row],[Total Amount]],"Correct","Check")</f>
        <v>Correct</v>
      </c>
    </row>
    <row r="364" spans="1:11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8">
        <v>25</v>
      </c>
      <c r="I364" s="8">
        <v>25</v>
      </c>
      <c r="J364">
        <f t="shared" si="5"/>
        <v>25</v>
      </c>
      <c r="K364" t="str">
        <f>IF(Table2[[#This Row],[Calculated Total]]=Table2[[#This Row],[Total Amount]],"Correct","Check")</f>
        <v>Correct</v>
      </c>
    </row>
    <row r="365" spans="1:11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8">
        <v>500</v>
      </c>
      <c r="I365" s="8">
        <v>500</v>
      </c>
      <c r="J365">
        <f t="shared" si="5"/>
        <v>500</v>
      </c>
      <c r="K365" t="str">
        <f>IF(Table2[[#This Row],[Calculated Total]]=Table2[[#This Row],[Total Amount]],"Correct","Check")</f>
        <v>Correct</v>
      </c>
    </row>
    <row r="366" spans="1:11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8">
        <v>300</v>
      </c>
      <c r="I366" s="8">
        <v>300</v>
      </c>
      <c r="J366">
        <f t="shared" si="5"/>
        <v>300</v>
      </c>
      <c r="K366" t="str">
        <f>IF(Table2[[#This Row],[Calculated Total]]=Table2[[#This Row],[Total Amount]],"Correct","Check")</f>
        <v>Correct</v>
      </c>
    </row>
    <row r="367" spans="1:11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8">
        <v>50</v>
      </c>
      <c r="I367" s="8">
        <v>100</v>
      </c>
      <c r="J367">
        <f t="shared" si="5"/>
        <v>100</v>
      </c>
      <c r="K367" t="str">
        <f>IF(Table2[[#This Row],[Calculated Total]]=Table2[[#This Row],[Total Amount]],"Correct","Check")</f>
        <v>Correct</v>
      </c>
    </row>
    <row r="368" spans="1:11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8">
        <v>50</v>
      </c>
      <c r="I368" s="8">
        <v>50</v>
      </c>
      <c r="J368">
        <f t="shared" si="5"/>
        <v>50</v>
      </c>
      <c r="K368" t="str">
        <f>IF(Table2[[#This Row],[Calculated Total]]=Table2[[#This Row],[Total Amount]],"Correct","Check")</f>
        <v>Correct</v>
      </c>
    </row>
    <row r="369" spans="1:11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8">
        <v>300</v>
      </c>
      <c r="I369" s="8">
        <v>1200</v>
      </c>
      <c r="J369">
        <f t="shared" si="5"/>
        <v>1200</v>
      </c>
      <c r="K369" t="str">
        <f>IF(Table2[[#This Row],[Calculated Total]]=Table2[[#This Row],[Total Amount]],"Correct","Check")</f>
        <v>Correct</v>
      </c>
    </row>
    <row r="370" spans="1:11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8">
        <v>500</v>
      </c>
      <c r="I370" s="8">
        <v>1500</v>
      </c>
      <c r="J370">
        <f t="shared" si="5"/>
        <v>1500</v>
      </c>
      <c r="K370" t="str">
        <f>IF(Table2[[#This Row],[Calculated Total]]=Table2[[#This Row],[Total Amount]],"Correct","Check")</f>
        <v>Correct</v>
      </c>
    </row>
    <row r="371" spans="1:11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8">
        <v>30</v>
      </c>
      <c r="I371" s="8">
        <v>60</v>
      </c>
      <c r="J371">
        <f t="shared" si="5"/>
        <v>60</v>
      </c>
      <c r="K371" t="str">
        <f>IF(Table2[[#This Row],[Calculated Total]]=Table2[[#This Row],[Total Amount]],"Correct","Check")</f>
        <v>Correct</v>
      </c>
    </row>
    <row r="372" spans="1:11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8">
        <v>25</v>
      </c>
      <c r="I372" s="8">
        <v>25</v>
      </c>
      <c r="J372">
        <f t="shared" si="5"/>
        <v>25</v>
      </c>
      <c r="K372" t="str">
        <f>IF(Table2[[#This Row],[Calculated Total]]=Table2[[#This Row],[Total Amount]],"Correct","Check")</f>
        <v>Correct</v>
      </c>
    </row>
    <row r="373" spans="1:11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8">
        <v>500</v>
      </c>
      <c r="I373" s="8">
        <v>1500</v>
      </c>
      <c r="J373">
        <f t="shared" si="5"/>
        <v>1500</v>
      </c>
      <c r="K373" t="str">
        <f>IF(Table2[[#This Row],[Calculated Total]]=Table2[[#This Row],[Total Amount]],"Correct","Check")</f>
        <v>Correct</v>
      </c>
    </row>
    <row r="374" spans="1:11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8">
        <v>300</v>
      </c>
      <c r="I374" s="8">
        <v>600</v>
      </c>
      <c r="J374">
        <f t="shared" si="5"/>
        <v>600</v>
      </c>
      <c r="K374" t="str">
        <f>IF(Table2[[#This Row],[Calculated Total]]=Table2[[#This Row],[Total Amount]],"Correct","Check")</f>
        <v>Correct</v>
      </c>
    </row>
    <row r="375" spans="1:11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8">
        <v>25</v>
      </c>
      <c r="I375" s="8">
        <v>75</v>
      </c>
      <c r="J375">
        <f t="shared" si="5"/>
        <v>75</v>
      </c>
      <c r="K375" t="str">
        <f>IF(Table2[[#This Row],[Calculated Total]]=Table2[[#This Row],[Total Amount]],"Correct","Check")</f>
        <v>Correct</v>
      </c>
    </row>
    <row r="376" spans="1:11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8">
        <v>50</v>
      </c>
      <c r="I376" s="8">
        <v>50</v>
      </c>
      <c r="J376">
        <f t="shared" si="5"/>
        <v>50</v>
      </c>
      <c r="K376" t="str">
        <f>IF(Table2[[#This Row],[Calculated Total]]=Table2[[#This Row],[Total Amount]],"Correct","Check")</f>
        <v>Correct</v>
      </c>
    </row>
    <row r="377" spans="1:11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8">
        <v>30</v>
      </c>
      <c r="I377" s="8">
        <v>30</v>
      </c>
      <c r="J377">
        <f t="shared" si="5"/>
        <v>30</v>
      </c>
      <c r="K377" t="str">
        <f>IF(Table2[[#This Row],[Calculated Total]]=Table2[[#This Row],[Total Amount]],"Correct","Check")</f>
        <v>Correct</v>
      </c>
    </row>
    <row r="378" spans="1:11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8">
        <v>50</v>
      </c>
      <c r="I378" s="8">
        <v>200</v>
      </c>
      <c r="J378">
        <f t="shared" si="5"/>
        <v>200</v>
      </c>
      <c r="K378" t="str">
        <f>IF(Table2[[#This Row],[Calculated Total]]=Table2[[#This Row],[Total Amount]],"Correct","Check")</f>
        <v>Correct</v>
      </c>
    </row>
    <row r="379" spans="1:11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8">
        <v>300</v>
      </c>
      <c r="I379" s="8">
        <v>300</v>
      </c>
      <c r="J379">
        <f t="shared" si="5"/>
        <v>300</v>
      </c>
      <c r="K379" t="str">
        <f>IF(Table2[[#This Row],[Calculated Total]]=Table2[[#This Row],[Total Amount]],"Correct","Check")</f>
        <v>Correct</v>
      </c>
    </row>
    <row r="380" spans="1:11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8">
        <v>25</v>
      </c>
      <c r="I380" s="8">
        <v>25</v>
      </c>
      <c r="J380">
        <f t="shared" si="5"/>
        <v>25</v>
      </c>
      <c r="K380" t="str">
        <f>IF(Table2[[#This Row],[Calculated Total]]=Table2[[#This Row],[Total Amount]],"Correct","Check")</f>
        <v>Correct</v>
      </c>
    </row>
    <row r="381" spans="1:11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8">
        <v>300</v>
      </c>
      <c r="I381" s="8">
        <v>600</v>
      </c>
      <c r="J381">
        <f t="shared" si="5"/>
        <v>600</v>
      </c>
      <c r="K381" t="str">
        <f>IF(Table2[[#This Row],[Calculated Total]]=Table2[[#This Row],[Total Amount]],"Correct","Check")</f>
        <v>Correct</v>
      </c>
    </row>
    <row r="382" spans="1:11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8">
        <v>25</v>
      </c>
      <c r="I382" s="8">
        <v>100</v>
      </c>
      <c r="J382">
        <f t="shared" si="5"/>
        <v>100</v>
      </c>
      <c r="K382" t="str">
        <f>IF(Table2[[#This Row],[Calculated Total]]=Table2[[#This Row],[Total Amount]],"Correct","Check")</f>
        <v>Correct</v>
      </c>
    </row>
    <row r="383" spans="1:11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8">
        <v>500</v>
      </c>
      <c r="I383" s="8">
        <v>1000</v>
      </c>
      <c r="J383">
        <f t="shared" si="5"/>
        <v>1000</v>
      </c>
      <c r="K383" t="str">
        <f>IF(Table2[[#This Row],[Calculated Total]]=Table2[[#This Row],[Total Amount]],"Correct","Check")</f>
        <v>Correct</v>
      </c>
    </row>
    <row r="384" spans="1:11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8">
        <v>30</v>
      </c>
      <c r="I384" s="8">
        <v>90</v>
      </c>
      <c r="J384">
        <f t="shared" si="5"/>
        <v>90</v>
      </c>
      <c r="K384" t="str">
        <f>IF(Table2[[#This Row],[Calculated Total]]=Table2[[#This Row],[Total Amount]],"Correct","Check")</f>
        <v>Correct</v>
      </c>
    </row>
    <row r="385" spans="1:11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8">
        <v>500</v>
      </c>
      <c r="I385" s="8">
        <v>500</v>
      </c>
      <c r="J385">
        <f t="shared" si="5"/>
        <v>500</v>
      </c>
      <c r="K385" t="str">
        <f>IF(Table2[[#This Row],[Calculated Total]]=Table2[[#This Row],[Total Amount]],"Correct","Check")</f>
        <v>Correct</v>
      </c>
    </row>
    <row r="386" spans="1:11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8">
        <v>500</v>
      </c>
      <c r="I386" s="8">
        <v>1500</v>
      </c>
      <c r="J386">
        <f t="shared" ref="J386:J449" si="6">G:G*H:H</f>
        <v>1500</v>
      </c>
      <c r="K386" t="str">
        <f>IF(Table2[[#This Row],[Calculated Total]]=Table2[[#This Row],[Total Amount]],"Correct","Check")</f>
        <v>Correct</v>
      </c>
    </row>
    <row r="387" spans="1:11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8">
        <v>300</v>
      </c>
      <c r="I387" s="8">
        <v>600</v>
      </c>
      <c r="J387">
        <f t="shared" si="6"/>
        <v>600</v>
      </c>
      <c r="K387" t="str">
        <f>IF(Table2[[#This Row],[Calculated Total]]=Table2[[#This Row],[Total Amount]],"Correct","Check")</f>
        <v>Correct</v>
      </c>
    </row>
    <row r="388" spans="1:11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8">
        <v>30</v>
      </c>
      <c r="I388" s="8">
        <v>30</v>
      </c>
      <c r="J388">
        <f t="shared" si="6"/>
        <v>30</v>
      </c>
      <c r="K388" t="str">
        <f>IF(Table2[[#This Row],[Calculated Total]]=Table2[[#This Row],[Total Amount]],"Correct","Check")</f>
        <v>Correct</v>
      </c>
    </row>
    <row r="389" spans="1:11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8">
        <v>25</v>
      </c>
      <c r="I389" s="8">
        <v>25</v>
      </c>
      <c r="J389">
        <f t="shared" si="6"/>
        <v>25</v>
      </c>
      <c r="K389" t="str">
        <f>IF(Table2[[#This Row],[Calculated Total]]=Table2[[#This Row],[Total Amount]],"Correct","Check")</f>
        <v>Correct</v>
      </c>
    </row>
    <row r="390" spans="1:11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8">
        <v>25</v>
      </c>
      <c r="I390" s="8">
        <v>50</v>
      </c>
      <c r="J390">
        <f t="shared" si="6"/>
        <v>50</v>
      </c>
      <c r="K390" t="str">
        <f>IF(Table2[[#This Row],[Calculated Total]]=Table2[[#This Row],[Total Amount]],"Correct","Check")</f>
        <v>Correct</v>
      </c>
    </row>
    <row r="391" spans="1:11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8">
        <v>50</v>
      </c>
      <c r="I391" s="8">
        <v>100</v>
      </c>
      <c r="J391">
        <f t="shared" si="6"/>
        <v>100</v>
      </c>
      <c r="K391" t="str">
        <f>IF(Table2[[#This Row],[Calculated Total]]=Table2[[#This Row],[Total Amount]],"Correct","Check")</f>
        <v>Correct</v>
      </c>
    </row>
    <row r="392" spans="1:11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8">
        <v>25</v>
      </c>
      <c r="I392" s="8">
        <v>50</v>
      </c>
      <c r="J392">
        <f t="shared" si="6"/>
        <v>50</v>
      </c>
      <c r="K392" t="str">
        <f>IF(Table2[[#This Row],[Calculated Total]]=Table2[[#This Row],[Total Amount]],"Correct","Check")</f>
        <v>Correct</v>
      </c>
    </row>
    <row r="393" spans="1:11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8">
        <v>300</v>
      </c>
      <c r="I393" s="8">
        <v>600</v>
      </c>
      <c r="J393">
        <f t="shared" si="6"/>
        <v>600</v>
      </c>
      <c r="K393" t="str">
        <f>IF(Table2[[#This Row],[Calculated Total]]=Table2[[#This Row],[Total Amount]],"Correct","Check")</f>
        <v>Correct</v>
      </c>
    </row>
    <row r="394" spans="1:11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8">
        <v>500</v>
      </c>
      <c r="I394" s="8">
        <v>1000</v>
      </c>
      <c r="J394">
        <f t="shared" si="6"/>
        <v>1000</v>
      </c>
      <c r="K394" t="str">
        <f>IF(Table2[[#This Row],[Calculated Total]]=Table2[[#This Row],[Total Amount]],"Correct","Check")</f>
        <v>Correct</v>
      </c>
    </row>
    <row r="395" spans="1:11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8">
        <v>500</v>
      </c>
      <c r="I395" s="8">
        <v>500</v>
      </c>
      <c r="J395">
        <f t="shared" si="6"/>
        <v>500</v>
      </c>
      <c r="K395" t="str">
        <f>IF(Table2[[#This Row],[Calculated Total]]=Table2[[#This Row],[Total Amount]],"Correct","Check")</f>
        <v>Correct</v>
      </c>
    </row>
    <row r="396" spans="1:11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8">
        <v>500</v>
      </c>
      <c r="I396" s="8">
        <v>1000</v>
      </c>
      <c r="J396">
        <f t="shared" si="6"/>
        <v>1000</v>
      </c>
      <c r="K396" t="str">
        <f>IF(Table2[[#This Row],[Calculated Total]]=Table2[[#This Row],[Total Amount]],"Correct","Check")</f>
        <v>Correct</v>
      </c>
    </row>
    <row r="397" spans="1:11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8">
        <v>30</v>
      </c>
      <c r="I397" s="8">
        <v>30</v>
      </c>
      <c r="J397">
        <f t="shared" si="6"/>
        <v>30</v>
      </c>
      <c r="K397" t="str">
        <f>IF(Table2[[#This Row],[Calculated Total]]=Table2[[#This Row],[Total Amount]],"Correct","Check")</f>
        <v>Correct</v>
      </c>
    </row>
    <row r="398" spans="1:11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8">
        <v>25</v>
      </c>
      <c r="I398" s="8">
        <v>25</v>
      </c>
      <c r="J398">
        <f t="shared" si="6"/>
        <v>25</v>
      </c>
      <c r="K398" t="str">
        <f>IF(Table2[[#This Row],[Calculated Total]]=Table2[[#This Row],[Total Amount]],"Correct","Check")</f>
        <v>Correct</v>
      </c>
    </row>
    <row r="399" spans="1:11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8">
        <v>300</v>
      </c>
      <c r="I399" s="8">
        <v>600</v>
      </c>
      <c r="J399">
        <f t="shared" si="6"/>
        <v>600</v>
      </c>
      <c r="K399" t="str">
        <f>IF(Table2[[#This Row],[Calculated Total]]=Table2[[#This Row],[Total Amount]],"Correct","Check")</f>
        <v>Correct</v>
      </c>
    </row>
    <row r="400" spans="1:11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8">
        <v>30</v>
      </c>
      <c r="I400" s="8">
        <v>60</v>
      </c>
      <c r="J400">
        <f t="shared" si="6"/>
        <v>60</v>
      </c>
      <c r="K400" t="str">
        <f>IF(Table2[[#This Row],[Calculated Total]]=Table2[[#This Row],[Total Amount]],"Correct","Check")</f>
        <v>Correct</v>
      </c>
    </row>
    <row r="401" spans="1:11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8">
        <v>50</v>
      </c>
      <c r="I401" s="8">
        <v>200</v>
      </c>
      <c r="J401">
        <f t="shared" si="6"/>
        <v>200</v>
      </c>
      <c r="K401" t="str">
        <f>IF(Table2[[#This Row],[Calculated Total]]=Table2[[#This Row],[Total Amount]],"Correct","Check")</f>
        <v>Correct</v>
      </c>
    </row>
    <row r="402" spans="1:11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8">
        <v>300</v>
      </c>
      <c r="I402" s="8">
        <v>300</v>
      </c>
      <c r="J402">
        <f t="shared" si="6"/>
        <v>300</v>
      </c>
      <c r="K402" t="str">
        <f>IF(Table2[[#This Row],[Calculated Total]]=Table2[[#This Row],[Total Amount]],"Correct","Check")</f>
        <v>Correct</v>
      </c>
    </row>
    <row r="403" spans="1:11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8">
        <v>300</v>
      </c>
      <c r="I403" s="8">
        <v>600</v>
      </c>
      <c r="J403">
        <f t="shared" si="6"/>
        <v>600</v>
      </c>
      <c r="K403" t="str">
        <f>IF(Table2[[#This Row],[Calculated Total]]=Table2[[#This Row],[Total Amount]],"Correct","Check")</f>
        <v>Correct</v>
      </c>
    </row>
    <row r="404" spans="1:11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8">
        <v>300</v>
      </c>
      <c r="I404" s="8">
        <v>600</v>
      </c>
      <c r="J404">
        <f t="shared" si="6"/>
        <v>600</v>
      </c>
      <c r="K404" t="str">
        <f>IF(Table2[[#This Row],[Calculated Total]]=Table2[[#This Row],[Total Amount]],"Correct","Check")</f>
        <v>Correct</v>
      </c>
    </row>
    <row r="405" spans="1:11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8">
        <v>500</v>
      </c>
      <c r="I405" s="8">
        <v>1000</v>
      </c>
      <c r="J405">
        <f t="shared" si="6"/>
        <v>1000</v>
      </c>
      <c r="K405" t="str">
        <f>IF(Table2[[#This Row],[Calculated Total]]=Table2[[#This Row],[Total Amount]],"Correct","Check")</f>
        <v>Correct</v>
      </c>
    </row>
    <row r="406" spans="1:11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8">
        <v>300</v>
      </c>
      <c r="I406" s="8">
        <v>1200</v>
      </c>
      <c r="J406">
        <f t="shared" si="6"/>
        <v>1200</v>
      </c>
      <c r="K406" t="str">
        <f>IF(Table2[[#This Row],[Calculated Total]]=Table2[[#This Row],[Total Amount]],"Correct","Check")</f>
        <v>Correct</v>
      </c>
    </row>
    <row r="407" spans="1:11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8">
        <v>25</v>
      </c>
      <c r="I407" s="8">
        <v>100</v>
      </c>
      <c r="J407">
        <f t="shared" si="6"/>
        <v>100</v>
      </c>
      <c r="K407" t="str">
        <f>IF(Table2[[#This Row],[Calculated Total]]=Table2[[#This Row],[Total Amount]],"Correct","Check")</f>
        <v>Correct</v>
      </c>
    </row>
    <row r="408" spans="1:11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8">
        <v>300</v>
      </c>
      <c r="I408" s="8">
        <v>900</v>
      </c>
      <c r="J408">
        <f t="shared" si="6"/>
        <v>900</v>
      </c>
      <c r="K408" t="str">
        <f>IF(Table2[[#This Row],[Calculated Total]]=Table2[[#This Row],[Total Amount]],"Correct","Check")</f>
        <v>Correct</v>
      </c>
    </row>
    <row r="409" spans="1:11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8">
        <v>500</v>
      </c>
      <c r="I409" s="8">
        <v>500</v>
      </c>
      <c r="J409">
        <f t="shared" si="6"/>
        <v>500</v>
      </c>
      <c r="K409" t="str">
        <f>IF(Table2[[#This Row],[Calculated Total]]=Table2[[#This Row],[Total Amount]],"Correct","Check")</f>
        <v>Correct</v>
      </c>
    </row>
    <row r="410" spans="1:11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8">
        <v>300</v>
      </c>
      <c r="I410" s="8">
        <v>900</v>
      </c>
      <c r="J410">
        <f t="shared" si="6"/>
        <v>900</v>
      </c>
      <c r="K410" t="str">
        <f>IF(Table2[[#This Row],[Calculated Total]]=Table2[[#This Row],[Total Amount]],"Correct","Check")</f>
        <v>Correct</v>
      </c>
    </row>
    <row r="411" spans="1:11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8">
        <v>50</v>
      </c>
      <c r="I411" s="8">
        <v>100</v>
      </c>
      <c r="J411">
        <f t="shared" si="6"/>
        <v>100</v>
      </c>
      <c r="K411" t="str">
        <f>IF(Table2[[#This Row],[Calculated Total]]=Table2[[#This Row],[Total Amount]],"Correct","Check")</f>
        <v>Correct</v>
      </c>
    </row>
    <row r="412" spans="1:11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8">
        <v>50</v>
      </c>
      <c r="I412" s="8">
        <v>200</v>
      </c>
      <c r="J412">
        <f t="shared" si="6"/>
        <v>200</v>
      </c>
      <c r="K412" t="str">
        <f>IF(Table2[[#This Row],[Calculated Total]]=Table2[[#This Row],[Total Amount]],"Correct","Check")</f>
        <v>Correct</v>
      </c>
    </row>
    <row r="413" spans="1:11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8">
        <v>500</v>
      </c>
      <c r="I413" s="8">
        <v>2000</v>
      </c>
      <c r="J413">
        <f t="shared" si="6"/>
        <v>2000</v>
      </c>
      <c r="K413" t="str">
        <f>IF(Table2[[#This Row],[Calculated Total]]=Table2[[#This Row],[Total Amount]],"Correct","Check")</f>
        <v>Correct</v>
      </c>
    </row>
    <row r="414" spans="1:11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8">
        <v>25</v>
      </c>
      <c r="I414" s="8">
        <v>75</v>
      </c>
      <c r="J414">
        <f t="shared" si="6"/>
        <v>75</v>
      </c>
      <c r="K414" t="str">
        <f>IF(Table2[[#This Row],[Calculated Total]]=Table2[[#This Row],[Total Amount]],"Correct","Check")</f>
        <v>Correct</v>
      </c>
    </row>
    <row r="415" spans="1:11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8">
        <v>25</v>
      </c>
      <c r="I415" s="8">
        <v>100</v>
      </c>
      <c r="J415">
        <f t="shared" si="6"/>
        <v>100</v>
      </c>
      <c r="K415" t="str">
        <f>IF(Table2[[#This Row],[Calculated Total]]=Table2[[#This Row],[Total Amount]],"Correct","Check")</f>
        <v>Correct</v>
      </c>
    </row>
    <row r="416" spans="1:11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8">
        <v>30</v>
      </c>
      <c r="I416" s="8">
        <v>60</v>
      </c>
      <c r="J416">
        <f t="shared" si="6"/>
        <v>60</v>
      </c>
      <c r="K416" t="str">
        <f>IF(Table2[[#This Row],[Calculated Total]]=Table2[[#This Row],[Total Amount]],"Correct","Check")</f>
        <v>Correct</v>
      </c>
    </row>
    <row r="417" spans="1:11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8">
        <v>500</v>
      </c>
      <c r="I417" s="8">
        <v>2000</v>
      </c>
      <c r="J417">
        <f t="shared" si="6"/>
        <v>2000</v>
      </c>
      <c r="K417" t="str">
        <f>IF(Table2[[#This Row],[Calculated Total]]=Table2[[#This Row],[Total Amount]],"Correct","Check")</f>
        <v>Correct</v>
      </c>
    </row>
    <row r="418" spans="1:11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8">
        <v>300</v>
      </c>
      <c r="I418" s="8">
        <v>900</v>
      </c>
      <c r="J418">
        <f t="shared" si="6"/>
        <v>900</v>
      </c>
      <c r="K418" t="str">
        <f>IF(Table2[[#This Row],[Calculated Total]]=Table2[[#This Row],[Total Amount]],"Correct","Check")</f>
        <v>Correct</v>
      </c>
    </row>
    <row r="419" spans="1:11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8">
        <v>500</v>
      </c>
      <c r="I419" s="8">
        <v>1000</v>
      </c>
      <c r="J419">
        <f t="shared" si="6"/>
        <v>1000</v>
      </c>
      <c r="K419" t="str">
        <f>IF(Table2[[#This Row],[Calculated Total]]=Table2[[#This Row],[Total Amount]],"Correct","Check")</f>
        <v>Correct</v>
      </c>
    </row>
    <row r="420" spans="1:11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8">
        <v>30</v>
      </c>
      <c r="I420" s="8">
        <v>90</v>
      </c>
      <c r="J420">
        <f t="shared" si="6"/>
        <v>90</v>
      </c>
      <c r="K420" t="str">
        <f>IF(Table2[[#This Row],[Calculated Total]]=Table2[[#This Row],[Total Amount]],"Correct","Check")</f>
        <v>Correct</v>
      </c>
    </row>
    <row r="421" spans="1:11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8">
        <v>500</v>
      </c>
      <c r="I421" s="8">
        <v>2000</v>
      </c>
      <c r="J421">
        <f t="shared" si="6"/>
        <v>2000</v>
      </c>
      <c r="K421" t="str">
        <f>IF(Table2[[#This Row],[Calculated Total]]=Table2[[#This Row],[Total Amount]],"Correct","Check")</f>
        <v>Correct</v>
      </c>
    </row>
    <row r="422" spans="1:11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8">
        <v>500</v>
      </c>
      <c r="I422" s="8">
        <v>1500</v>
      </c>
      <c r="J422">
        <f t="shared" si="6"/>
        <v>1500</v>
      </c>
      <c r="K422" t="str">
        <f>IF(Table2[[#This Row],[Calculated Total]]=Table2[[#This Row],[Total Amount]],"Correct","Check")</f>
        <v>Correct</v>
      </c>
    </row>
    <row r="423" spans="1:11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8">
        <v>30</v>
      </c>
      <c r="I423" s="8">
        <v>90</v>
      </c>
      <c r="J423">
        <f t="shared" si="6"/>
        <v>90</v>
      </c>
      <c r="K423" t="str">
        <f>IF(Table2[[#This Row],[Calculated Total]]=Table2[[#This Row],[Total Amount]],"Correct","Check")</f>
        <v>Correct</v>
      </c>
    </row>
    <row r="424" spans="1:11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8">
        <v>25</v>
      </c>
      <c r="I424" s="8">
        <v>25</v>
      </c>
      <c r="J424">
        <f t="shared" si="6"/>
        <v>25</v>
      </c>
      <c r="K424" t="str">
        <f>IF(Table2[[#This Row],[Calculated Total]]=Table2[[#This Row],[Total Amount]],"Correct","Check")</f>
        <v>Correct</v>
      </c>
    </row>
    <row r="425" spans="1:11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8">
        <v>300</v>
      </c>
      <c r="I425" s="8">
        <v>1200</v>
      </c>
      <c r="J425">
        <f t="shared" si="6"/>
        <v>1200</v>
      </c>
      <c r="K425" t="str">
        <f>IF(Table2[[#This Row],[Calculated Total]]=Table2[[#This Row],[Total Amount]],"Correct","Check")</f>
        <v>Correct</v>
      </c>
    </row>
    <row r="426" spans="1:11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8">
        <v>30</v>
      </c>
      <c r="I426" s="8">
        <v>120</v>
      </c>
      <c r="J426">
        <f t="shared" si="6"/>
        <v>120</v>
      </c>
      <c r="K426" t="str">
        <f>IF(Table2[[#This Row],[Calculated Total]]=Table2[[#This Row],[Total Amount]],"Correct","Check")</f>
        <v>Correct</v>
      </c>
    </row>
    <row r="427" spans="1:11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8">
        <v>50</v>
      </c>
      <c r="I427" s="8">
        <v>150</v>
      </c>
      <c r="J427">
        <f t="shared" si="6"/>
        <v>150</v>
      </c>
      <c r="K427" t="str">
        <f>IF(Table2[[#This Row],[Calculated Total]]=Table2[[#This Row],[Total Amount]],"Correct","Check")</f>
        <v>Correct</v>
      </c>
    </row>
    <row r="428" spans="1:11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8">
        <v>25</v>
      </c>
      <c r="I428" s="8">
        <v>25</v>
      </c>
      <c r="J428">
        <f t="shared" si="6"/>
        <v>25</v>
      </c>
      <c r="K428" t="str">
        <f>IF(Table2[[#This Row],[Calculated Total]]=Table2[[#This Row],[Total Amount]],"Correct","Check")</f>
        <v>Correct</v>
      </c>
    </row>
    <row r="429" spans="1:11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8">
        <v>50</v>
      </c>
      <c r="I429" s="8">
        <v>200</v>
      </c>
      <c r="J429">
        <f t="shared" si="6"/>
        <v>200</v>
      </c>
      <c r="K429" t="str">
        <f>IF(Table2[[#This Row],[Calculated Total]]=Table2[[#This Row],[Total Amount]],"Correct","Check")</f>
        <v>Correct</v>
      </c>
    </row>
    <row r="430" spans="1:11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8">
        <v>25</v>
      </c>
      <c r="I430" s="8">
        <v>50</v>
      </c>
      <c r="J430">
        <f t="shared" si="6"/>
        <v>50</v>
      </c>
      <c r="K430" t="str">
        <f>IF(Table2[[#This Row],[Calculated Total]]=Table2[[#This Row],[Total Amount]],"Correct","Check")</f>
        <v>Correct</v>
      </c>
    </row>
    <row r="431" spans="1:11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8">
        <v>300</v>
      </c>
      <c r="I431" s="8">
        <v>900</v>
      </c>
      <c r="J431">
        <f t="shared" si="6"/>
        <v>900</v>
      </c>
      <c r="K431" t="str">
        <f>IF(Table2[[#This Row],[Calculated Total]]=Table2[[#This Row],[Total Amount]],"Correct","Check")</f>
        <v>Correct</v>
      </c>
    </row>
    <row r="432" spans="1:11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8">
        <v>300</v>
      </c>
      <c r="I432" s="8">
        <v>1200</v>
      </c>
      <c r="J432">
        <f t="shared" si="6"/>
        <v>1200</v>
      </c>
      <c r="K432" t="str">
        <f>IF(Table2[[#This Row],[Calculated Total]]=Table2[[#This Row],[Total Amount]],"Correct","Check")</f>
        <v>Correct</v>
      </c>
    </row>
    <row r="433" spans="1:11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8">
        <v>500</v>
      </c>
      <c r="I433" s="8">
        <v>1000</v>
      </c>
      <c r="J433">
        <f t="shared" si="6"/>
        <v>1000</v>
      </c>
      <c r="K433" t="str">
        <f>IF(Table2[[#This Row],[Calculated Total]]=Table2[[#This Row],[Total Amount]],"Correct","Check")</f>
        <v>Correct</v>
      </c>
    </row>
    <row r="434" spans="1:11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8">
        <v>50</v>
      </c>
      <c r="I434" s="8">
        <v>200</v>
      </c>
      <c r="J434">
        <f t="shared" si="6"/>
        <v>200</v>
      </c>
      <c r="K434" t="str">
        <f>IF(Table2[[#This Row],[Calculated Total]]=Table2[[#This Row],[Total Amount]],"Correct","Check")</f>
        <v>Correct</v>
      </c>
    </row>
    <row r="435" spans="1:11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8">
        <v>25</v>
      </c>
      <c r="I435" s="8">
        <v>50</v>
      </c>
      <c r="J435">
        <f t="shared" si="6"/>
        <v>50</v>
      </c>
      <c r="K435" t="str">
        <f>IF(Table2[[#This Row],[Calculated Total]]=Table2[[#This Row],[Total Amount]],"Correct","Check")</f>
        <v>Correct</v>
      </c>
    </row>
    <row r="436" spans="1:11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8">
        <v>300</v>
      </c>
      <c r="I436" s="8">
        <v>900</v>
      </c>
      <c r="J436">
        <f t="shared" si="6"/>
        <v>900</v>
      </c>
      <c r="K436" t="str">
        <f>IF(Table2[[#This Row],[Calculated Total]]=Table2[[#This Row],[Total Amount]],"Correct","Check")</f>
        <v>Correct</v>
      </c>
    </row>
    <row r="437" spans="1:11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8">
        <v>30</v>
      </c>
      <c r="I437" s="8">
        <v>120</v>
      </c>
      <c r="J437">
        <f t="shared" si="6"/>
        <v>120</v>
      </c>
      <c r="K437" t="str">
        <f>IF(Table2[[#This Row],[Calculated Total]]=Table2[[#This Row],[Total Amount]],"Correct","Check")</f>
        <v>Correct</v>
      </c>
    </row>
    <row r="438" spans="1:11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8">
        <v>300</v>
      </c>
      <c r="I438" s="8">
        <v>1200</v>
      </c>
      <c r="J438">
        <f t="shared" si="6"/>
        <v>1200</v>
      </c>
      <c r="K438" t="str">
        <f>IF(Table2[[#This Row],[Calculated Total]]=Table2[[#This Row],[Total Amount]],"Correct","Check")</f>
        <v>Correct</v>
      </c>
    </row>
    <row r="439" spans="1:11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8">
        <v>30</v>
      </c>
      <c r="I439" s="8">
        <v>30</v>
      </c>
      <c r="J439">
        <f t="shared" si="6"/>
        <v>30</v>
      </c>
      <c r="K439" t="str">
        <f>IF(Table2[[#This Row],[Calculated Total]]=Table2[[#This Row],[Total Amount]],"Correct","Check")</f>
        <v>Correct</v>
      </c>
    </row>
    <row r="440" spans="1:11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8">
        <v>25</v>
      </c>
      <c r="I440" s="8">
        <v>75</v>
      </c>
      <c r="J440">
        <f t="shared" si="6"/>
        <v>75</v>
      </c>
      <c r="K440" t="str">
        <f>IF(Table2[[#This Row],[Calculated Total]]=Table2[[#This Row],[Total Amount]],"Correct","Check")</f>
        <v>Correct</v>
      </c>
    </row>
    <row r="441" spans="1:11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8">
        <v>300</v>
      </c>
      <c r="I441" s="8">
        <v>600</v>
      </c>
      <c r="J441">
        <f t="shared" si="6"/>
        <v>600</v>
      </c>
      <c r="K441" t="str">
        <f>IF(Table2[[#This Row],[Calculated Total]]=Table2[[#This Row],[Total Amount]],"Correct","Check")</f>
        <v>Correct</v>
      </c>
    </row>
    <row r="442" spans="1:11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8">
        <v>300</v>
      </c>
      <c r="I442" s="8">
        <v>1200</v>
      </c>
      <c r="J442">
        <f t="shared" si="6"/>
        <v>1200</v>
      </c>
      <c r="K442" t="str">
        <f>IF(Table2[[#This Row],[Calculated Total]]=Table2[[#This Row],[Total Amount]],"Correct","Check")</f>
        <v>Correct</v>
      </c>
    </row>
    <row r="443" spans="1:11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8">
        <v>25</v>
      </c>
      <c r="I443" s="8">
        <v>100</v>
      </c>
      <c r="J443">
        <f t="shared" si="6"/>
        <v>100</v>
      </c>
      <c r="K443" t="str">
        <f>IF(Table2[[#This Row],[Calculated Total]]=Table2[[#This Row],[Total Amount]],"Correct","Check")</f>
        <v>Correct</v>
      </c>
    </row>
    <row r="444" spans="1:11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8">
        <v>300</v>
      </c>
      <c r="I444" s="8">
        <v>600</v>
      </c>
      <c r="J444">
        <f t="shared" si="6"/>
        <v>600</v>
      </c>
      <c r="K444" t="str">
        <f>IF(Table2[[#This Row],[Calculated Total]]=Table2[[#This Row],[Total Amount]],"Correct","Check")</f>
        <v>Correct</v>
      </c>
    </row>
    <row r="445" spans="1:11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8">
        <v>30</v>
      </c>
      <c r="I445" s="8">
        <v>90</v>
      </c>
      <c r="J445">
        <f t="shared" si="6"/>
        <v>90</v>
      </c>
      <c r="K445" t="str">
        <f>IF(Table2[[#This Row],[Calculated Total]]=Table2[[#This Row],[Total Amount]],"Correct","Check")</f>
        <v>Correct</v>
      </c>
    </row>
    <row r="446" spans="1:11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8">
        <v>300</v>
      </c>
      <c r="I446" s="8">
        <v>300</v>
      </c>
      <c r="J446">
        <f t="shared" si="6"/>
        <v>300</v>
      </c>
      <c r="K446" t="str">
        <f>IF(Table2[[#This Row],[Calculated Total]]=Table2[[#This Row],[Total Amount]],"Correct","Check")</f>
        <v>Correct</v>
      </c>
    </row>
    <row r="447" spans="1:11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8">
        <v>50</v>
      </c>
      <c r="I447" s="8">
        <v>50</v>
      </c>
      <c r="J447">
        <f t="shared" si="6"/>
        <v>50</v>
      </c>
      <c r="K447" t="str">
        <f>IF(Table2[[#This Row],[Calculated Total]]=Table2[[#This Row],[Total Amount]],"Correct","Check")</f>
        <v>Correct</v>
      </c>
    </row>
    <row r="448" spans="1:11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8">
        <v>500</v>
      </c>
      <c r="I448" s="8">
        <v>2000</v>
      </c>
      <c r="J448">
        <f t="shared" si="6"/>
        <v>2000</v>
      </c>
      <c r="K448" t="str">
        <f>IF(Table2[[#This Row],[Calculated Total]]=Table2[[#This Row],[Total Amount]],"Correct","Check")</f>
        <v>Correct</v>
      </c>
    </row>
    <row r="449" spans="1:11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8">
        <v>30</v>
      </c>
      <c r="I449" s="8">
        <v>60</v>
      </c>
      <c r="J449">
        <f t="shared" si="6"/>
        <v>60</v>
      </c>
      <c r="K449" t="str">
        <f>IF(Table2[[#This Row],[Calculated Total]]=Table2[[#This Row],[Total Amount]],"Correct","Check")</f>
        <v>Correct</v>
      </c>
    </row>
    <row r="450" spans="1:11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8">
        <v>50</v>
      </c>
      <c r="I450" s="8">
        <v>200</v>
      </c>
      <c r="J450">
        <f t="shared" ref="J450:J513" si="7">G:G*H:H</f>
        <v>200</v>
      </c>
      <c r="K450" t="str">
        <f>IF(Table2[[#This Row],[Calculated Total]]=Table2[[#This Row],[Total Amount]],"Correct","Check")</f>
        <v>Correct</v>
      </c>
    </row>
    <row r="451" spans="1:11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8">
        <v>25</v>
      </c>
      <c r="I451" s="8">
        <v>50</v>
      </c>
      <c r="J451">
        <f t="shared" si="7"/>
        <v>50</v>
      </c>
      <c r="K451" t="str">
        <f>IF(Table2[[#This Row],[Calculated Total]]=Table2[[#This Row],[Total Amount]],"Correct","Check")</f>
        <v>Correct</v>
      </c>
    </row>
    <row r="452" spans="1:11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8">
        <v>30</v>
      </c>
      <c r="I452" s="8">
        <v>30</v>
      </c>
      <c r="J452">
        <f t="shared" si="7"/>
        <v>30</v>
      </c>
      <c r="K452" t="str">
        <f>IF(Table2[[#This Row],[Calculated Total]]=Table2[[#This Row],[Total Amount]],"Correct","Check")</f>
        <v>Correct</v>
      </c>
    </row>
    <row r="453" spans="1:11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8">
        <v>500</v>
      </c>
      <c r="I453" s="8">
        <v>1500</v>
      </c>
      <c r="J453">
        <f t="shared" si="7"/>
        <v>1500</v>
      </c>
      <c r="K453" t="str">
        <f>IF(Table2[[#This Row],[Calculated Total]]=Table2[[#This Row],[Total Amount]],"Correct","Check")</f>
        <v>Correct</v>
      </c>
    </row>
    <row r="454" spans="1:11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8">
        <v>500</v>
      </c>
      <c r="I454" s="8">
        <v>1000</v>
      </c>
      <c r="J454">
        <f t="shared" si="7"/>
        <v>1000</v>
      </c>
      <c r="K454" t="str">
        <f>IF(Table2[[#This Row],[Calculated Total]]=Table2[[#This Row],[Total Amount]],"Correct","Check")</f>
        <v>Correct</v>
      </c>
    </row>
    <row r="455" spans="1:11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8">
        <v>25</v>
      </c>
      <c r="I455" s="8">
        <v>25</v>
      </c>
      <c r="J455">
        <f t="shared" si="7"/>
        <v>25</v>
      </c>
      <c r="K455" t="str">
        <f>IF(Table2[[#This Row],[Calculated Total]]=Table2[[#This Row],[Total Amount]],"Correct","Check")</f>
        <v>Correct</v>
      </c>
    </row>
    <row r="456" spans="1:11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8">
        <v>25</v>
      </c>
      <c r="I456" s="8">
        <v>100</v>
      </c>
      <c r="J456">
        <f t="shared" si="7"/>
        <v>100</v>
      </c>
      <c r="K456" t="str">
        <f>IF(Table2[[#This Row],[Calculated Total]]=Table2[[#This Row],[Total Amount]],"Correct","Check")</f>
        <v>Correct</v>
      </c>
    </row>
    <row r="457" spans="1:11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8">
        <v>30</v>
      </c>
      <c r="I457" s="8">
        <v>60</v>
      </c>
      <c r="J457">
        <f t="shared" si="7"/>
        <v>60</v>
      </c>
      <c r="K457" t="str">
        <f>IF(Table2[[#This Row],[Calculated Total]]=Table2[[#This Row],[Total Amount]],"Correct","Check")</f>
        <v>Correct</v>
      </c>
    </row>
    <row r="458" spans="1:11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8">
        <v>300</v>
      </c>
      <c r="I458" s="8">
        <v>900</v>
      </c>
      <c r="J458">
        <f t="shared" si="7"/>
        <v>900</v>
      </c>
      <c r="K458" t="str">
        <f>IF(Table2[[#This Row],[Calculated Total]]=Table2[[#This Row],[Total Amount]],"Correct","Check")</f>
        <v>Correct</v>
      </c>
    </row>
    <row r="459" spans="1:11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8">
        <v>25</v>
      </c>
      <c r="I459" s="8">
        <v>100</v>
      </c>
      <c r="J459">
        <f t="shared" si="7"/>
        <v>100</v>
      </c>
      <c r="K459" t="str">
        <f>IF(Table2[[#This Row],[Calculated Total]]=Table2[[#This Row],[Total Amount]],"Correct","Check")</f>
        <v>Correct</v>
      </c>
    </row>
    <row r="460" spans="1:11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8">
        <v>300</v>
      </c>
      <c r="I460" s="8">
        <v>1200</v>
      </c>
      <c r="J460">
        <f t="shared" si="7"/>
        <v>1200</v>
      </c>
      <c r="K460" t="str">
        <f>IF(Table2[[#This Row],[Calculated Total]]=Table2[[#This Row],[Total Amount]],"Correct","Check")</f>
        <v>Correct</v>
      </c>
    </row>
    <row r="461" spans="1:11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8">
        <v>50</v>
      </c>
      <c r="I461" s="8">
        <v>50</v>
      </c>
      <c r="J461">
        <f t="shared" si="7"/>
        <v>50</v>
      </c>
      <c r="K461" t="str">
        <f>IF(Table2[[#This Row],[Calculated Total]]=Table2[[#This Row],[Total Amount]],"Correct","Check")</f>
        <v>Correct</v>
      </c>
    </row>
    <row r="462" spans="1:11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8">
        <v>500</v>
      </c>
      <c r="I462" s="8">
        <v>1000</v>
      </c>
      <c r="J462">
        <f t="shared" si="7"/>
        <v>1000</v>
      </c>
      <c r="K462" t="str">
        <f>IF(Table2[[#This Row],[Calculated Total]]=Table2[[#This Row],[Total Amount]],"Correct","Check")</f>
        <v>Correct</v>
      </c>
    </row>
    <row r="463" spans="1:11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8">
        <v>300</v>
      </c>
      <c r="I463" s="8">
        <v>1200</v>
      </c>
      <c r="J463">
        <f t="shared" si="7"/>
        <v>1200</v>
      </c>
      <c r="K463" t="str">
        <f>IF(Table2[[#This Row],[Calculated Total]]=Table2[[#This Row],[Total Amount]],"Correct","Check")</f>
        <v>Correct</v>
      </c>
    </row>
    <row r="464" spans="1:11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8">
        <v>500</v>
      </c>
      <c r="I464" s="8">
        <v>1500</v>
      </c>
      <c r="J464">
        <f t="shared" si="7"/>
        <v>1500</v>
      </c>
      <c r="K464" t="str">
        <f>IF(Table2[[#This Row],[Calculated Total]]=Table2[[#This Row],[Total Amount]],"Correct","Check")</f>
        <v>Correct</v>
      </c>
    </row>
    <row r="465" spans="1:11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8">
        <v>300</v>
      </c>
      <c r="I465" s="8">
        <v>600</v>
      </c>
      <c r="J465">
        <f t="shared" si="7"/>
        <v>600</v>
      </c>
      <c r="K465" t="str">
        <f>IF(Table2[[#This Row],[Calculated Total]]=Table2[[#This Row],[Total Amount]],"Correct","Check")</f>
        <v>Correct</v>
      </c>
    </row>
    <row r="466" spans="1:11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8">
        <v>50</v>
      </c>
      <c r="I466" s="8">
        <v>150</v>
      </c>
      <c r="J466">
        <f t="shared" si="7"/>
        <v>150</v>
      </c>
      <c r="K466" t="str">
        <f>IF(Table2[[#This Row],[Calculated Total]]=Table2[[#This Row],[Total Amount]],"Correct","Check")</f>
        <v>Correct</v>
      </c>
    </row>
    <row r="467" spans="1:11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8">
        <v>25</v>
      </c>
      <c r="I467" s="8">
        <v>100</v>
      </c>
      <c r="J467">
        <f t="shared" si="7"/>
        <v>100</v>
      </c>
      <c r="K467" t="str">
        <f>IF(Table2[[#This Row],[Calculated Total]]=Table2[[#This Row],[Total Amount]],"Correct","Check")</f>
        <v>Correct</v>
      </c>
    </row>
    <row r="468" spans="1:11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8">
        <v>50</v>
      </c>
      <c r="I468" s="8">
        <v>150</v>
      </c>
      <c r="J468">
        <f t="shared" si="7"/>
        <v>150</v>
      </c>
      <c r="K468" t="str">
        <f>IF(Table2[[#This Row],[Calculated Total]]=Table2[[#This Row],[Total Amount]],"Correct","Check")</f>
        <v>Correct</v>
      </c>
    </row>
    <row r="469" spans="1:11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8">
        <v>25</v>
      </c>
      <c r="I469" s="8">
        <v>25</v>
      </c>
      <c r="J469">
        <f t="shared" si="7"/>
        <v>25</v>
      </c>
      <c r="K469" t="str">
        <f>IF(Table2[[#This Row],[Calculated Total]]=Table2[[#This Row],[Total Amount]],"Correct","Check")</f>
        <v>Correct</v>
      </c>
    </row>
    <row r="470" spans="1:11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8">
        <v>25</v>
      </c>
      <c r="I470" s="8">
        <v>75</v>
      </c>
      <c r="J470">
        <f t="shared" si="7"/>
        <v>75</v>
      </c>
      <c r="K470" t="str">
        <f>IF(Table2[[#This Row],[Calculated Total]]=Table2[[#This Row],[Total Amount]],"Correct","Check")</f>
        <v>Correct</v>
      </c>
    </row>
    <row r="471" spans="1:11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8">
        <v>500</v>
      </c>
      <c r="I471" s="8">
        <v>1000</v>
      </c>
      <c r="J471">
        <f t="shared" si="7"/>
        <v>1000</v>
      </c>
      <c r="K471" t="str">
        <f>IF(Table2[[#This Row],[Calculated Total]]=Table2[[#This Row],[Total Amount]],"Correct","Check")</f>
        <v>Correct</v>
      </c>
    </row>
    <row r="472" spans="1:11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8">
        <v>50</v>
      </c>
      <c r="I472" s="8">
        <v>150</v>
      </c>
      <c r="J472">
        <f t="shared" si="7"/>
        <v>150</v>
      </c>
      <c r="K472" t="str">
        <f>IF(Table2[[#This Row],[Calculated Total]]=Table2[[#This Row],[Total Amount]],"Correct","Check")</f>
        <v>Correct</v>
      </c>
    </row>
    <row r="473" spans="1:11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8">
        <v>300</v>
      </c>
      <c r="I473" s="8">
        <v>900</v>
      </c>
      <c r="J473">
        <f t="shared" si="7"/>
        <v>900</v>
      </c>
      <c r="K473" t="str">
        <f>IF(Table2[[#This Row],[Calculated Total]]=Table2[[#This Row],[Total Amount]],"Correct","Check")</f>
        <v>Correct</v>
      </c>
    </row>
    <row r="474" spans="1:11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8">
        <v>50</v>
      </c>
      <c r="I474" s="8">
        <v>50</v>
      </c>
      <c r="J474">
        <f t="shared" si="7"/>
        <v>50</v>
      </c>
      <c r="K474" t="str">
        <f>IF(Table2[[#This Row],[Calculated Total]]=Table2[[#This Row],[Total Amount]],"Correct","Check")</f>
        <v>Correct</v>
      </c>
    </row>
    <row r="475" spans="1:11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8">
        <v>500</v>
      </c>
      <c r="I475" s="8">
        <v>1500</v>
      </c>
      <c r="J475">
        <f t="shared" si="7"/>
        <v>1500</v>
      </c>
      <c r="K475" t="str">
        <f>IF(Table2[[#This Row],[Calculated Total]]=Table2[[#This Row],[Total Amount]],"Correct","Check")</f>
        <v>Correct</v>
      </c>
    </row>
    <row r="476" spans="1:11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8">
        <v>25</v>
      </c>
      <c r="I476" s="8">
        <v>75</v>
      </c>
      <c r="J476">
        <f t="shared" si="7"/>
        <v>75</v>
      </c>
      <c r="K476" t="str">
        <f>IF(Table2[[#This Row],[Calculated Total]]=Table2[[#This Row],[Total Amount]],"Correct","Check")</f>
        <v>Correct</v>
      </c>
    </row>
    <row r="477" spans="1:11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8">
        <v>500</v>
      </c>
      <c r="I477" s="8">
        <v>2000</v>
      </c>
      <c r="J477">
        <f t="shared" si="7"/>
        <v>2000</v>
      </c>
      <c r="K477" t="str">
        <f>IF(Table2[[#This Row],[Calculated Total]]=Table2[[#This Row],[Total Amount]],"Correct","Check")</f>
        <v>Correct</v>
      </c>
    </row>
    <row r="478" spans="1:11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8">
        <v>30</v>
      </c>
      <c r="I478" s="8">
        <v>120</v>
      </c>
      <c r="J478">
        <f t="shared" si="7"/>
        <v>120</v>
      </c>
      <c r="K478" t="str">
        <f>IF(Table2[[#This Row],[Calculated Total]]=Table2[[#This Row],[Total Amount]],"Correct","Check")</f>
        <v>Correct</v>
      </c>
    </row>
    <row r="479" spans="1:11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8">
        <v>30</v>
      </c>
      <c r="I479" s="8">
        <v>60</v>
      </c>
      <c r="J479">
        <f t="shared" si="7"/>
        <v>60</v>
      </c>
      <c r="K479" t="str">
        <f>IF(Table2[[#This Row],[Calculated Total]]=Table2[[#This Row],[Total Amount]],"Correct","Check")</f>
        <v>Correct</v>
      </c>
    </row>
    <row r="480" spans="1:11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8">
        <v>300</v>
      </c>
      <c r="I480" s="8">
        <v>1200</v>
      </c>
      <c r="J480">
        <f t="shared" si="7"/>
        <v>1200</v>
      </c>
      <c r="K480" t="str">
        <f>IF(Table2[[#This Row],[Calculated Total]]=Table2[[#This Row],[Total Amount]],"Correct","Check")</f>
        <v>Correct</v>
      </c>
    </row>
    <row r="481" spans="1:11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8">
        <v>500</v>
      </c>
      <c r="I481" s="8">
        <v>2000</v>
      </c>
      <c r="J481">
        <f t="shared" si="7"/>
        <v>2000</v>
      </c>
      <c r="K481" t="str">
        <f>IF(Table2[[#This Row],[Calculated Total]]=Table2[[#This Row],[Total Amount]],"Correct","Check")</f>
        <v>Correct</v>
      </c>
    </row>
    <row r="482" spans="1:11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8">
        <v>300</v>
      </c>
      <c r="I482" s="8">
        <v>1200</v>
      </c>
      <c r="J482">
        <f t="shared" si="7"/>
        <v>1200</v>
      </c>
      <c r="K482" t="str">
        <f>IF(Table2[[#This Row],[Calculated Total]]=Table2[[#This Row],[Total Amount]],"Correct","Check")</f>
        <v>Correct</v>
      </c>
    </row>
    <row r="483" spans="1:11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8">
        <v>300</v>
      </c>
      <c r="I483" s="8">
        <v>1200</v>
      </c>
      <c r="J483">
        <f t="shared" si="7"/>
        <v>1200</v>
      </c>
      <c r="K483" t="str">
        <f>IF(Table2[[#This Row],[Calculated Total]]=Table2[[#This Row],[Total Amount]],"Correct","Check")</f>
        <v>Correct</v>
      </c>
    </row>
    <row r="484" spans="1:11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8">
        <v>30</v>
      </c>
      <c r="I484" s="8">
        <v>30</v>
      </c>
      <c r="J484">
        <f t="shared" si="7"/>
        <v>30</v>
      </c>
      <c r="K484" t="str">
        <f>IF(Table2[[#This Row],[Calculated Total]]=Table2[[#This Row],[Total Amount]],"Correct","Check")</f>
        <v>Correct</v>
      </c>
    </row>
    <row r="485" spans="1:11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8">
        <v>300</v>
      </c>
      <c r="I485" s="8">
        <v>1200</v>
      </c>
      <c r="J485">
        <f t="shared" si="7"/>
        <v>1200</v>
      </c>
      <c r="K485" t="str">
        <f>IF(Table2[[#This Row],[Calculated Total]]=Table2[[#This Row],[Total Amount]],"Correct","Check")</f>
        <v>Correct</v>
      </c>
    </row>
    <row r="486" spans="1:11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8">
        <v>30</v>
      </c>
      <c r="I486" s="8">
        <v>30</v>
      </c>
      <c r="J486">
        <f t="shared" si="7"/>
        <v>30</v>
      </c>
      <c r="K486" t="str">
        <f>IF(Table2[[#This Row],[Calculated Total]]=Table2[[#This Row],[Total Amount]],"Correct","Check")</f>
        <v>Correct</v>
      </c>
    </row>
    <row r="487" spans="1:11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8">
        <v>25</v>
      </c>
      <c r="I487" s="8">
        <v>25</v>
      </c>
      <c r="J487">
        <f t="shared" si="7"/>
        <v>25</v>
      </c>
      <c r="K487" t="str">
        <f>IF(Table2[[#This Row],[Calculated Total]]=Table2[[#This Row],[Total Amount]],"Correct","Check")</f>
        <v>Correct</v>
      </c>
    </row>
    <row r="488" spans="1:11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8">
        <v>500</v>
      </c>
      <c r="I488" s="8">
        <v>2000</v>
      </c>
      <c r="J488">
        <f t="shared" si="7"/>
        <v>2000</v>
      </c>
      <c r="K488" t="str">
        <f>IF(Table2[[#This Row],[Calculated Total]]=Table2[[#This Row],[Total Amount]],"Correct","Check")</f>
        <v>Correct</v>
      </c>
    </row>
    <row r="489" spans="1:11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8">
        <v>300</v>
      </c>
      <c r="I489" s="8">
        <v>900</v>
      </c>
      <c r="J489">
        <f t="shared" si="7"/>
        <v>900</v>
      </c>
      <c r="K489" t="str">
        <f>IF(Table2[[#This Row],[Calculated Total]]=Table2[[#This Row],[Total Amount]],"Correct","Check")</f>
        <v>Correct</v>
      </c>
    </row>
    <row r="490" spans="1:11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8">
        <v>30</v>
      </c>
      <c r="I490" s="8">
        <v>30</v>
      </c>
      <c r="J490">
        <f t="shared" si="7"/>
        <v>30</v>
      </c>
      <c r="K490" t="str">
        <f>IF(Table2[[#This Row],[Calculated Total]]=Table2[[#This Row],[Total Amount]],"Correct","Check")</f>
        <v>Correct</v>
      </c>
    </row>
    <row r="491" spans="1:11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8">
        <v>50</v>
      </c>
      <c r="I491" s="8">
        <v>150</v>
      </c>
      <c r="J491">
        <f t="shared" si="7"/>
        <v>150</v>
      </c>
      <c r="K491" t="str">
        <f>IF(Table2[[#This Row],[Calculated Total]]=Table2[[#This Row],[Total Amount]],"Correct","Check")</f>
        <v>Correct</v>
      </c>
    </row>
    <row r="492" spans="1:11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8">
        <v>300</v>
      </c>
      <c r="I492" s="8">
        <v>900</v>
      </c>
      <c r="J492">
        <f t="shared" si="7"/>
        <v>900</v>
      </c>
      <c r="K492" t="str">
        <f>IF(Table2[[#This Row],[Calculated Total]]=Table2[[#This Row],[Total Amount]],"Correct","Check")</f>
        <v>Correct</v>
      </c>
    </row>
    <row r="493" spans="1:11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8">
        <v>25</v>
      </c>
      <c r="I493" s="8">
        <v>100</v>
      </c>
      <c r="J493">
        <f t="shared" si="7"/>
        <v>100</v>
      </c>
      <c r="K493" t="str">
        <f>IF(Table2[[#This Row],[Calculated Total]]=Table2[[#This Row],[Total Amount]],"Correct","Check")</f>
        <v>Correct</v>
      </c>
    </row>
    <row r="494" spans="1:11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8">
        <v>25</v>
      </c>
      <c r="I494" s="8">
        <v>50</v>
      </c>
      <c r="J494">
        <f t="shared" si="7"/>
        <v>50</v>
      </c>
      <c r="K494" t="str">
        <f>IF(Table2[[#This Row],[Calculated Total]]=Table2[[#This Row],[Total Amount]],"Correct","Check")</f>
        <v>Correct</v>
      </c>
    </row>
    <row r="495" spans="1:11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8">
        <v>50</v>
      </c>
      <c r="I495" s="8">
        <v>200</v>
      </c>
      <c r="J495">
        <f t="shared" si="7"/>
        <v>200</v>
      </c>
      <c r="K495" t="str">
        <f>IF(Table2[[#This Row],[Calculated Total]]=Table2[[#This Row],[Total Amount]],"Correct","Check")</f>
        <v>Correct</v>
      </c>
    </row>
    <row r="496" spans="1:11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8">
        <v>30</v>
      </c>
      <c r="I496" s="8">
        <v>60</v>
      </c>
      <c r="J496">
        <f t="shared" si="7"/>
        <v>60</v>
      </c>
      <c r="K496" t="str">
        <f>IF(Table2[[#This Row],[Calculated Total]]=Table2[[#This Row],[Total Amount]],"Correct","Check")</f>
        <v>Correct</v>
      </c>
    </row>
    <row r="497" spans="1:11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8">
        <v>300</v>
      </c>
      <c r="I497" s="8">
        <v>600</v>
      </c>
      <c r="J497">
        <f t="shared" si="7"/>
        <v>600</v>
      </c>
      <c r="K497" t="str">
        <f>IF(Table2[[#This Row],[Calculated Total]]=Table2[[#This Row],[Total Amount]],"Correct","Check")</f>
        <v>Correct</v>
      </c>
    </row>
    <row r="498" spans="1:11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8">
        <v>30</v>
      </c>
      <c r="I498" s="8">
        <v>120</v>
      </c>
      <c r="J498">
        <f t="shared" si="7"/>
        <v>120</v>
      </c>
      <c r="K498" t="str">
        <f>IF(Table2[[#This Row],[Calculated Total]]=Table2[[#This Row],[Total Amount]],"Correct","Check")</f>
        <v>Correct</v>
      </c>
    </row>
    <row r="499" spans="1:11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8">
        <v>25</v>
      </c>
      <c r="I499" s="8">
        <v>100</v>
      </c>
      <c r="J499">
        <f t="shared" si="7"/>
        <v>100</v>
      </c>
      <c r="K499" t="str">
        <f>IF(Table2[[#This Row],[Calculated Total]]=Table2[[#This Row],[Total Amount]],"Correct","Check")</f>
        <v>Correct</v>
      </c>
    </row>
    <row r="500" spans="1:11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8">
        <v>30</v>
      </c>
      <c r="I500" s="8">
        <v>60</v>
      </c>
      <c r="J500">
        <f t="shared" si="7"/>
        <v>60</v>
      </c>
      <c r="K500" t="str">
        <f>IF(Table2[[#This Row],[Calculated Total]]=Table2[[#This Row],[Total Amount]],"Correct","Check")</f>
        <v>Correct</v>
      </c>
    </row>
    <row r="501" spans="1:11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8">
        <v>25</v>
      </c>
      <c r="I501" s="8">
        <v>100</v>
      </c>
      <c r="J501">
        <f t="shared" si="7"/>
        <v>100</v>
      </c>
      <c r="K501" t="str">
        <f>IF(Table2[[#This Row],[Calculated Total]]=Table2[[#This Row],[Total Amount]],"Correct","Check")</f>
        <v>Correct</v>
      </c>
    </row>
    <row r="502" spans="1:11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8">
        <v>30</v>
      </c>
      <c r="I502" s="8">
        <v>60</v>
      </c>
      <c r="J502">
        <f t="shared" si="7"/>
        <v>60</v>
      </c>
      <c r="K502" t="str">
        <f>IF(Table2[[#This Row],[Calculated Total]]=Table2[[#This Row],[Total Amount]],"Correct","Check")</f>
        <v>Correct</v>
      </c>
    </row>
    <row r="503" spans="1:11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8">
        <v>50</v>
      </c>
      <c r="I503" s="8">
        <v>150</v>
      </c>
      <c r="J503">
        <f t="shared" si="7"/>
        <v>150</v>
      </c>
      <c r="K503" t="str">
        <f>IF(Table2[[#This Row],[Calculated Total]]=Table2[[#This Row],[Total Amount]],"Correct","Check")</f>
        <v>Correct</v>
      </c>
    </row>
    <row r="504" spans="1:11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8">
        <v>500</v>
      </c>
      <c r="I504" s="8">
        <v>2000</v>
      </c>
      <c r="J504">
        <f t="shared" si="7"/>
        <v>2000</v>
      </c>
      <c r="K504" t="str">
        <f>IF(Table2[[#This Row],[Calculated Total]]=Table2[[#This Row],[Total Amount]],"Correct","Check")</f>
        <v>Correct</v>
      </c>
    </row>
    <row r="505" spans="1:11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8">
        <v>50</v>
      </c>
      <c r="I505" s="8">
        <v>150</v>
      </c>
      <c r="J505">
        <f t="shared" si="7"/>
        <v>150</v>
      </c>
      <c r="K505" t="str">
        <f>IF(Table2[[#This Row],[Calculated Total]]=Table2[[#This Row],[Total Amount]],"Correct","Check")</f>
        <v>Correct</v>
      </c>
    </row>
    <row r="506" spans="1:11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8">
        <v>50</v>
      </c>
      <c r="I506" s="8">
        <v>50</v>
      </c>
      <c r="J506">
        <f t="shared" si="7"/>
        <v>50</v>
      </c>
      <c r="K506" t="str">
        <f>IF(Table2[[#This Row],[Calculated Total]]=Table2[[#This Row],[Total Amount]],"Correct","Check")</f>
        <v>Correct</v>
      </c>
    </row>
    <row r="507" spans="1:11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8">
        <v>500</v>
      </c>
      <c r="I507" s="8">
        <v>1500</v>
      </c>
      <c r="J507">
        <f t="shared" si="7"/>
        <v>1500</v>
      </c>
      <c r="K507" t="str">
        <f>IF(Table2[[#This Row],[Calculated Total]]=Table2[[#This Row],[Total Amount]],"Correct","Check")</f>
        <v>Correct</v>
      </c>
    </row>
    <row r="508" spans="1:11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8">
        <v>500</v>
      </c>
      <c r="I508" s="8">
        <v>1500</v>
      </c>
      <c r="J508">
        <f t="shared" si="7"/>
        <v>1500</v>
      </c>
      <c r="K508" t="str">
        <f>IF(Table2[[#This Row],[Calculated Total]]=Table2[[#This Row],[Total Amount]],"Correct","Check")</f>
        <v>Correct</v>
      </c>
    </row>
    <row r="509" spans="1:11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8">
        <v>300</v>
      </c>
      <c r="I509" s="8">
        <v>600</v>
      </c>
      <c r="J509">
        <f t="shared" si="7"/>
        <v>600</v>
      </c>
      <c r="K509" t="str">
        <f>IF(Table2[[#This Row],[Calculated Total]]=Table2[[#This Row],[Total Amount]],"Correct","Check")</f>
        <v>Correct</v>
      </c>
    </row>
    <row r="510" spans="1:11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8">
        <v>300</v>
      </c>
      <c r="I510" s="8">
        <v>900</v>
      </c>
      <c r="J510">
        <f t="shared" si="7"/>
        <v>900</v>
      </c>
      <c r="K510" t="str">
        <f>IF(Table2[[#This Row],[Calculated Total]]=Table2[[#This Row],[Total Amount]],"Correct","Check")</f>
        <v>Correct</v>
      </c>
    </row>
    <row r="511" spans="1:11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8">
        <v>50</v>
      </c>
      <c r="I511" s="8">
        <v>200</v>
      </c>
      <c r="J511">
        <f t="shared" si="7"/>
        <v>200</v>
      </c>
      <c r="K511" t="str">
        <f>IF(Table2[[#This Row],[Calculated Total]]=Table2[[#This Row],[Total Amount]],"Correct","Check")</f>
        <v>Correct</v>
      </c>
    </row>
    <row r="512" spans="1:11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8">
        <v>50</v>
      </c>
      <c r="I512" s="8">
        <v>100</v>
      </c>
      <c r="J512">
        <f t="shared" si="7"/>
        <v>100</v>
      </c>
      <c r="K512" t="str">
        <f>IF(Table2[[#This Row],[Calculated Total]]=Table2[[#This Row],[Total Amount]],"Correct","Check")</f>
        <v>Correct</v>
      </c>
    </row>
    <row r="513" spans="1:11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8">
        <v>25</v>
      </c>
      <c r="I513" s="8">
        <v>25</v>
      </c>
      <c r="J513">
        <f t="shared" si="7"/>
        <v>25</v>
      </c>
      <c r="K513" t="str">
        <f>IF(Table2[[#This Row],[Calculated Total]]=Table2[[#This Row],[Total Amount]],"Correct","Check")</f>
        <v>Correct</v>
      </c>
    </row>
    <row r="514" spans="1:11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8">
        <v>25</v>
      </c>
      <c r="I514" s="8">
        <v>100</v>
      </c>
      <c r="J514">
        <f t="shared" ref="J514:J577" si="8">G:G*H:H</f>
        <v>100</v>
      </c>
      <c r="K514" t="str">
        <f>IF(Table2[[#This Row],[Calculated Total]]=Table2[[#This Row],[Total Amount]],"Correct","Check")</f>
        <v>Correct</v>
      </c>
    </row>
    <row r="515" spans="1:11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8">
        <v>300</v>
      </c>
      <c r="I515" s="8">
        <v>300</v>
      </c>
      <c r="J515">
        <f t="shared" si="8"/>
        <v>300</v>
      </c>
      <c r="K515" t="str">
        <f>IF(Table2[[#This Row],[Calculated Total]]=Table2[[#This Row],[Total Amount]],"Correct","Check")</f>
        <v>Correct</v>
      </c>
    </row>
    <row r="516" spans="1:11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8">
        <v>300</v>
      </c>
      <c r="I516" s="8">
        <v>900</v>
      </c>
      <c r="J516">
        <f t="shared" si="8"/>
        <v>900</v>
      </c>
      <c r="K516" t="str">
        <f>IF(Table2[[#This Row],[Calculated Total]]=Table2[[#This Row],[Total Amount]],"Correct","Check")</f>
        <v>Correct</v>
      </c>
    </row>
    <row r="517" spans="1:11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8">
        <v>25</v>
      </c>
      <c r="I517" s="8">
        <v>100</v>
      </c>
      <c r="J517">
        <f t="shared" si="8"/>
        <v>100</v>
      </c>
      <c r="K517" t="str">
        <f>IF(Table2[[#This Row],[Calculated Total]]=Table2[[#This Row],[Total Amount]],"Correct","Check")</f>
        <v>Correct</v>
      </c>
    </row>
    <row r="518" spans="1:11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8">
        <v>25</v>
      </c>
      <c r="I518" s="8">
        <v>100</v>
      </c>
      <c r="J518">
        <f t="shared" si="8"/>
        <v>100</v>
      </c>
      <c r="K518" t="str">
        <f>IF(Table2[[#This Row],[Calculated Total]]=Table2[[#This Row],[Total Amount]],"Correct","Check")</f>
        <v>Correct</v>
      </c>
    </row>
    <row r="519" spans="1:11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8">
        <v>30</v>
      </c>
      <c r="I519" s="8">
        <v>30</v>
      </c>
      <c r="J519">
        <f t="shared" si="8"/>
        <v>30</v>
      </c>
      <c r="K519" t="str">
        <f>IF(Table2[[#This Row],[Calculated Total]]=Table2[[#This Row],[Total Amount]],"Correct","Check")</f>
        <v>Correct</v>
      </c>
    </row>
    <row r="520" spans="1:11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8">
        <v>30</v>
      </c>
      <c r="I520" s="8">
        <v>120</v>
      </c>
      <c r="J520">
        <f t="shared" si="8"/>
        <v>120</v>
      </c>
      <c r="K520" t="str">
        <f>IF(Table2[[#This Row],[Calculated Total]]=Table2[[#This Row],[Total Amount]],"Correct","Check")</f>
        <v>Correct</v>
      </c>
    </row>
    <row r="521" spans="1:11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8">
        <v>25</v>
      </c>
      <c r="I521" s="8">
        <v>100</v>
      </c>
      <c r="J521">
        <f t="shared" si="8"/>
        <v>100</v>
      </c>
      <c r="K521" t="str">
        <f>IF(Table2[[#This Row],[Calculated Total]]=Table2[[#This Row],[Total Amount]],"Correct","Check")</f>
        <v>Correct</v>
      </c>
    </row>
    <row r="522" spans="1:11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8">
        <v>30</v>
      </c>
      <c r="I522" s="8">
        <v>120</v>
      </c>
      <c r="J522">
        <f t="shared" si="8"/>
        <v>120</v>
      </c>
      <c r="K522" t="str">
        <f>IF(Table2[[#This Row],[Calculated Total]]=Table2[[#This Row],[Total Amount]],"Correct","Check")</f>
        <v>Correct</v>
      </c>
    </row>
    <row r="523" spans="1:11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8">
        <v>500</v>
      </c>
      <c r="I523" s="8">
        <v>1500</v>
      </c>
      <c r="J523">
        <f t="shared" si="8"/>
        <v>1500</v>
      </c>
      <c r="K523" t="str">
        <f>IF(Table2[[#This Row],[Calculated Total]]=Table2[[#This Row],[Total Amount]],"Correct","Check")</f>
        <v>Correct</v>
      </c>
    </row>
    <row r="524" spans="1:11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8">
        <v>300</v>
      </c>
      <c r="I524" s="8">
        <v>300</v>
      </c>
      <c r="J524">
        <f t="shared" si="8"/>
        <v>300</v>
      </c>
      <c r="K524" t="str">
        <f>IF(Table2[[#This Row],[Calculated Total]]=Table2[[#This Row],[Total Amount]],"Correct","Check")</f>
        <v>Correct</v>
      </c>
    </row>
    <row r="525" spans="1:11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8">
        <v>300</v>
      </c>
      <c r="I525" s="8">
        <v>1200</v>
      </c>
      <c r="J525">
        <f t="shared" si="8"/>
        <v>1200</v>
      </c>
      <c r="K525" t="str">
        <f>IF(Table2[[#This Row],[Calculated Total]]=Table2[[#This Row],[Total Amount]],"Correct","Check")</f>
        <v>Correct</v>
      </c>
    </row>
    <row r="526" spans="1:11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8">
        <v>25</v>
      </c>
      <c r="I526" s="8">
        <v>50</v>
      </c>
      <c r="J526">
        <f t="shared" si="8"/>
        <v>50</v>
      </c>
      <c r="K526" t="str">
        <f>IF(Table2[[#This Row],[Calculated Total]]=Table2[[#This Row],[Total Amount]],"Correct","Check")</f>
        <v>Correct</v>
      </c>
    </row>
    <row r="527" spans="1:11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8">
        <v>50</v>
      </c>
      <c r="I527" s="8">
        <v>100</v>
      </c>
      <c r="J527">
        <f t="shared" si="8"/>
        <v>100</v>
      </c>
      <c r="K527" t="str">
        <f>IF(Table2[[#This Row],[Calculated Total]]=Table2[[#This Row],[Total Amount]],"Correct","Check")</f>
        <v>Correct</v>
      </c>
    </row>
    <row r="528" spans="1:11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8">
        <v>25</v>
      </c>
      <c r="I528" s="8">
        <v>50</v>
      </c>
      <c r="J528">
        <f t="shared" si="8"/>
        <v>50</v>
      </c>
      <c r="K528" t="str">
        <f>IF(Table2[[#This Row],[Calculated Total]]=Table2[[#This Row],[Total Amount]],"Correct","Check")</f>
        <v>Correct</v>
      </c>
    </row>
    <row r="529" spans="1:11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8">
        <v>30</v>
      </c>
      <c r="I529" s="8">
        <v>60</v>
      </c>
      <c r="J529">
        <f t="shared" si="8"/>
        <v>60</v>
      </c>
      <c r="K529" t="str">
        <f>IF(Table2[[#This Row],[Calculated Total]]=Table2[[#This Row],[Total Amount]],"Correct","Check")</f>
        <v>Correct</v>
      </c>
    </row>
    <row r="530" spans="1:11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8">
        <v>50</v>
      </c>
      <c r="I530" s="8">
        <v>150</v>
      </c>
      <c r="J530">
        <f t="shared" si="8"/>
        <v>150</v>
      </c>
      <c r="K530" t="str">
        <f>IF(Table2[[#This Row],[Calculated Total]]=Table2[[#This Row],[Total Amount]],"Correct","Check")</f>
        <v>Correct</v>
      </c>
    </row>
    <row r="531" spans="1:11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8">
        <v>30</v>
      </c>
      <c r="I531" s="8">
        <v>120</v>
      </c>
      <c r="J531">
        <f t="shared" si="8"/>
        <v>120</v>
      </c>
      <c r="K531" t="str">
        <f>IF(Table2[[#This Row],[Calculated Total]]=Table2[[#This Row],[Total Amount]],"Correct","Check")</f>
        <v>Correct</v>
      </c>
    </row>
    <row r="532" spans="1:11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8">
        <v>500</v>
      </c>
      <c r="I532" s="8">
        <v>500</v>
      </c>
      <c r="J532">
        <f t="shared" si="8"/>
        <v>500</v>
      </c>
      <c r="K532" t="str">
        <f>IF(Table2[[#This Row],[Calculated Total]]=Table2[[#This Row],[Total Amount]],"Correct","Check")</f>
        <v>Correct</v>
      </c>
    </row>
    <row r="533" spans="1:11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8">
        <v>30</v>
      </c>
      <c r="I533" s="8">
        <v>120</v>
      </c>
      <c r="J533">
        <f t="shared" si="8"/>
        <v>120</v>
      </c>
      <c r="K533" t="str">
        <f>IF(Table2[[#This Row],[Calculated Total]]=Table2[[#This Row],[Total Amount]],"Correct","Check")</f>
        <v>Correct</v>
      </c>
    </row>
    <row r="534" spans="1:11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8">
        <v>500</v>
      </c>
      <c r="I534" s="8">
        <v>1500</v>
      </c>
      <c r="J534">
        <f t="shared" si="8"/>
        <v>1500</v>
      </c>
      <c r="K534" t="str">
        <f>IF(Table2[[#This Row],[Calculated Total]]=Table2[[#This Row],[Total Amount]],"Correct","Check")</f>
        <v>Correct</v>
      </c>
    </row>
    <row r="535" spans="1:11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8">
        <v>500</v>
      </c>
      <c r="I535" s="8">
        <v>1000</v>
      </c>
      <c r="J535">
        <f t="shared" si="8"/>
        <v>1000</v>
      </c>
      <c r="K535" t="str">
        <f>IF(Table2[[#This Row],[Calculated Total]]=Table2[[#This Row],[Total Amount]],"Correct","Check")</f>
        <v>Correct</v>
      </c>
    </row>
    <row r="536" spans="1:11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8">
        <v>30</v>
      </c>
      <c r="I536" s="8">
        <v>90</v>
      </c>
      <c r="J536">
        <f t="shared" si="8"/>
        <v>90</v>
      </c>
      <c r="K536" t="str">
        <f>IF(Table2[[#This Row],[Calculated Total]]=Table2[[#This Row],[Total Amount]],"Correct","Check")</f>
        <v>Correct</v>
      </c>
    </row>
    <row r="537" spans="1:11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8">
        <v>30</v>
      </c>
      <c r="I537" s="8">
        <v>120</v>
      </c>
      <c r="J537">
        <f t="shared" si="8"/>
        <v>120</v>
      </c>
      <c r="K537" t="str">
        <f>IF(Table2[[#This Row],[Calculated Total]]=Table2[[#This Row],[Total Amount]],"Correct","Check")</f>
        <v>Correct</v>
      </c>
    </row>
    <row r="538" spans="1:11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8">
        <v>500</v>
      </c>
      <c r="I538" s="8">
        <v>500</v>
      </c>
      <c r="J538">
        <f t="shared" si="8"/>
        <v>500</v>
      </c>
      <c r="K538" t="str">
        <f>IF(Table2[[#This Row],[Calculated Total]]=Table2[[#This Row],[Total Amount]],"Correct","Check")</f>
        <v>Correct</v>
      </c>
    </row>
    <row r="539" spans="1:11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8">
        <v>50</v>
      </c>
      <c r="I539" s="8">
        <v>150</v>
      </c>
      <c r="J539">
        <f t="shared" si="8"/>
        <v>150</v>
      </c>
      <c r="K539" t="str">
        <f>IF(Table2[[#This Row],[Calculated Total]]=Table2[[#This Row],[Total Amount]],"Correct","Check")</f>
        <v>Correct</v>
      </c>
    </row>
    <row r="540" spans="1:11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8">
        <v>500</v>
      </c>
      <c r="I540" s="8">
        <v>500</v>
      </c>
      <c r="J540">
        <f t="shared" si="8"/>
        <v>500</v>
      </c>
      <c r="K540" t="str">
        <f>IF(Table2[[#This Row],[Calculated Total]]=Table2[[#This Row],[Total Amount]],"Correct","Check")</f>
        <v>Correct</v>
      </c>
    </row>
    <row r="541" spans="1:11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8">
        <v>300</v>
      </c>
      <c r="I541" s="8">
        <v>900</v>
      </c>
      <c r="J541">
        <f t="shared" si="8"/>
        <v>900</v>
      </c>
      <c r="K541" t="str">
        <f>IF(Table2[[#This Row],[Calculated Total]]=Table2[[#This Row],[Total Amount]],"Correct","Check")</f>
        <v>Correct</v>
      </c>
    </row>
    <row r="542" spans="1:11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8">
        <v>500</v>
      </c>
      <c r="I542" s="8">
        <v>500</v>
      </c>
      <c r="J542">
        <f t="shared" si="8"/>
        <v>500</v>
      </c>
      <c r="K542" t="str">
        <f>IF(Table2[[#This Row],[Calculated Total]]=Table2[[#This Row],[Total Amount]],"Correct","Check")</f>
        <v>Correct</v>
      </c>
    </row>
    <row r="543" spans="1:11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8">
        <v>50</v>
      </c>
      <c r="I543" s="8">
        <v>50</v>
      </c>
      <c r="J543">
        <f t="shared" si="8"/>
        <v>50</v>
      </c>
      <c r="K543" t="str">
        <f>IF(Table2[[#This Row],[Calculated Total]]=Table2[[#This Row],[Total Amount]],"Correct","Check")</f>
        <v>Correct</v>
      </c>
    </row>
    <row r="544" spans="1:11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8">
        <v>300</v>
      </c>
      <c r="I544" s="8">
        <v>600</v>
      </c>
      <c r="J544">
        <f t="shared" si="8"/>
        <v>600</v>
      </c>
      <c r="K544" t="str">
        <f>IF(Table2[[#This Row],[Calculated Total]]=Table2[[#This Row],[Total Amount]],"Correct","Check")</f>
        <v>Correct</v>
      </c>
    </row>
    <row r="545" spans="1:11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8">
        <v>25</v>
      </c>
      <c r="I545" s="8">
        <v>25</v>
      </c>
      <c r="J545">
        <f t="shared" si="8"/>
        <v>25</v>
      </c>
      <c r="K545" t="str">
        <f>IF(Table2[[#This Row],[Calculated Total]]=Table2[[#This Row],[Total Amount]],"Correct","Check")</f>
        <v>Correct</v>
      </c>
    </row>
    <row r="546" spans="1:11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8">
        <v>25</v>
      </c>
      <c r="I546" s="8">
        <v>50</v>
      </c>
      <c r="J546">
        <f t="shared" si="8"/>
        <v>50</v>
      </c>
      <c r="K546" t="str">
        <f>IF(Table2[[#This Row],[Calculated Total]]=Table2[[#This Row],[Total Amount]],"Correct","Check")</f>
        <v>Correct</v>
      </c>
    </row>
    <row r="547" spans="1:11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8">
        <v>50</v>
      </c>
      <c r="I547" s="8">
        <v>200</v>
      </c>
      <c r="J547">
        <f t="shared" si="8"/>
        <v>200</v>
      </c>
      <c r="K547" t="str">
        <f>IF(Table2[[#This Row],[Calculated Total]]=Table2[[#This Row],[Total Amount]],"Correct","Check")</f>
        <v>Correct</v>
      </c>
    </row>
    <row r="548" spans="1:11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8">
        <v>500</v>
      </c>
      <c r="I548" s="8">
        <v>2000</v>
      </c>
      <c r="J548">
        <f t="shared" si="8"/>
        <v>2000</v>
      </c>
      <c r="K548" t="str">
        <f>IF(Table2[[#This Row],[Calculated Total]]=Table2[[#This Row],[Total Amount]],"Correct","Check")</f>
        <v>Correct</v>
      </c>
    </row>
    <row r="549" spans="1:11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8">
        <v>30</v>
      </c>
      <c r="I549" s="8">
        <v>60</v>
      </c>
      <c r="J549">
        <f t="shared" si="8"/>
        <v>60</v>
      </c>
      <c r="K549" t="str">
        <f>IF(Table2[[#This Row],[Calculated Total]]=Table2[[#This Row],[Total Amount]],"Correct","Check")</f>
        <v>Correct</v>
      </c>
    </row>
    <row r="550" spans="1:11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8">
        <v>50</v>
      </c>
      <c r="I550" s="8">
        <v>100</v>
      </c>
      <c r="J550">
        <f t="shared" si="8"/>
        <v>100</v>
      </c>
      <c r="K550" t="str">
        <f>IF(Table2[[#This Row],[Calculated Total]]=Table2[[#This Row],[Total Amount]],"Correct","Check")</f>
        <v>Correct</v>
      </c>
    </row>
    <row r="551" spans="1:11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8">
        <v>300</v>
      </c>
      <c r="I551" s="8">
        <v>900</v>
      </c>
      <c r="J551">
        <f t="shared" si="8"/>
        <v>900</v>
      </c>
      <c r="K551" t="str">
        <f>IF(Table2[[#This Row],[Calculated Total]]=Table2[[#This Row],[Total Amount]],"Correct","Check")</f>
        <v>Correct</v>
      </c>
    </row>
    <row r="552" spans="1:11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8">
        <v>300</v>
      </c>
      <c r="I552" s="8">
        <v>900</v>
      </c>
      <c r="J552">
        <f t="shared" si="8"/>
        <v>900</v>
      </c>
      <c r="K552" t="str">
        <f>IF(Table2[[#This Row],[Calculated Total]]=Table2[[#This Row],[Total Amount]],"Correct","Check")</f>
        <v>Correct</v>
      </c>
    </row>
    <row r="553" spans="1:11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8">
        <v>25</v>
      </c>
      <c r="I553" s="8">
        <v>75</v>
      </c>
      <c r="J553">
        <f t="shared" si="8"/>
        <v>75</v>
      </c>
      <c r="K553" t="str">
        <f>IF(Table2[[#This Row],[Calculated Total]]=Table2[[#This Row],[Total Amount]],"Correct","Check")</f>
        <v>Correct</v>
      </c>
    </row>
    <row r="554" spans="1:11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8">
        <v>300</v>
      </c>
      <c r="I554" s="8">
        <v>1200</v>
      </c>
      <c r="J554">
        <f t="shared" si="8"/>
        <v>1200</v>
      </c>
      <c r="K554" t="str">
        <f>IF(Table2[[#This Row],[Calculated Total]]=Table2[[#This Row],[Total Amount]],"Correct","Check")</f>
        <v>Correct</v>
      </c>
    </row>
    <row r="555" spans="1:11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8">
        <v>50</v>
      </c>
      <c r="I555" s="8">
        <v>150</v>
      </c>
      <c r="J555">
        <f t="shared" si="8"/>
        <v>150</v>
      </c>
      <c r="K555" t="str">
        <f>IF(Table2[[#This Row],[Calculated Total]]=Table2[[#This Row],[Total Amount]],"Correct","Check")</f>
        <v>Correct</v>
      </c>
    </row>
    <row r="556" spans="1:11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8">
        <v>300</v>
      </c>
      <c r="I556" s="8">
        <v>300</v>
      </c>
      <c r="J556">
        <f t="shared" si="8"/>
        <v>300</v>
      </c>
      <c r="K556" t="str">
        <f>IF(Table2[[#This Row],[Calculated Total]]=Table2[[#This Row],[Total Amount]],"Correct","Check")</f>
        <v>Correct</v>
      </c>
    </row>
    <row r="557" spans="1:11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8">
        <v>50</v>
      </c>
      <c r="I557" s="8">
        <v>50</v>
      </c>
      <c r="J557">
        <f t="shared" si="8"/>
        <v>50</v>
      </c>
      <c r="K557" t="str">
        <f>IF(Table2[[#This Row],[Calculated Total]]=Table2[[#This Row],[Total Amount]],"Correct","Check")</f>
        <v>Correct</v>
      </c>
    </row>
    <row r="558" spans="1:11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8">
        <v>30</v>
      </c>
      <c r="I558" s="8">
        <v>90</v>
      </c>
      <c r="J558">
        <f t="shared" si="8"/>
        <v>90</v>
      </c>
      <c r="K558" t="str">
        <f>IF(Table2[[#This Row],[Calculated Total]]=Table2[[#This Row],[Total Amount]],"Correct","Check")</f>
        <v>Correct</v>
      </c>
    </row>
    <row r="559" spans="1:11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8">
        <v>25</v>
      </c>
      <c r="I559" s="8">
        <v>25</v>
      </c>
      <c r="J559">
        <f t="shared" si="8"/>
        <v>25</v>
      </c>
      <c r="K559" t="str">
        <f>IF(Table2[[#This Row],[Calculated Total]]=Table2[[#This Row],[Total Amount]],"Correct","Check")</f>
        <v>Correct</v>
      </c>
    </row>
    <row r="560" spans="1:11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8">
        <v>300</v>
      </c>
      <c r="I560" s="8">
        <v>1200</v>
      </c>
      <c r="J560">
        <f t="shared" si="8"/>
        <v>1200</v>
      </c>
      <c r="K560" t="str">
        <f>IF(Table2[[#This Row],[Calculated Total]]=Table2[[#This Row],[Total Amount]],"Correct","Check")</f>
        <v>Correct</v>
      </c>
    </row>
    <row r="561" spans="1:11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8">
        <v>50</v>
      </c>
      <c r="I561" s="8">
        <v>50</v>
      </c>
      <c r="J561">
        <f t="shared" si="8"/>
        <v>50</v>
      </c>
      <c r="K561" t="str">
        <f>IF(Table2[[#This Row],[Calculated Total]]=Table2[[#This Row],[Total Amount]],"Correct","Check")</f>
        <v>Correct</v>
      </c>
    </row>
    <row r="562" spans="1:11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8">
        <v>500</v>
      </c>
      <c r="I562" s="8">
        <v>2000</v>
      </c>
      <c r="J562">
        <f t="shared" si="8"/>
        <v>2000</v>
      </c>
      <c r="K562" t="str">
        <f>IF(Table2[[#This Row],[Calculated Total]]=Table2[[#This Row],[Total Amount]],"Correct","Check")</f>
        <v>Correct</v>
      </c>
    </row>
    <row r="563" spans="1:11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8">
        <v>25</v>
      </c>
      <c r="I563" s="8">
        <v>50</v>
      </c>
      <c r="J563">
        <f t="shared" si="8"/>
        <v>50</v>
      </c>
      <c r="K563" t="str">
        <f>IF(Table2[[#This Row],[Calculated Total]]=Table2[[#This Row],[Total Amount]],"Correct","Check")</f>
        <v>Correct</v>
      </c>
    </row>
    <row r="564" spans="1:11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8">
        <v>30</v>
      </c>
      <c r="I564" s="8">
        <v>60</v>
      </c>
      <c r="J564">
        <f t="shared" si="8"/>
        <v>60</v>
      </c>
      <c r="K564" t="str">
        <f>IF(Table2[[#This Row],[Calculated Total]]=Table2[[#This Row],[Total Amount]],"Correct","Check")</f>
        <v>Correct</v>
      </c>
    </row>
    <row r="565" spans="1:11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8">
        <v>50</v>
      </c>
      <c r="I565" s="8">
        <v>100</v>
      </c>
      <c r="J565">
        <f t="shared" si="8"/>
        <v>100</v>
      </c>
      <c r="K565" t="str">
        <f>IF(Table2[[#This Row],[Calculated Total]]=Table2[[#This Row],[Total Amount]],"Correct","Check")</f>
        <v>Correct</v>
      </c>
    </row>
    <row r="566" spans="1:11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8">
        <v>30</v>
      </c>
      <c r="I566" s="8">
        <v>60</v>
      </c>
      <c r="J566">
        <f t="shared" si="8"/>
        <v>60</v>
      </c>
      <c r="K566" t="str">
        <f>IF(Table2[[#This Row],[Calculated Total]]=Table2[[#This Row],[Total Amount]],"Correct","Check")</f>
        <v>Correct</v>
      </c>
    </row>
    <row r="567" spans="1:11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8">
        <v>30</v>
      </c>
      <c r="I567" s="8">
        <v>30</v>
      </c>
      <c r="J567">
        <f t="shared" si="8"/>
        <v>30</v>
      </c>
      <c r="K567" t="str">
        <f>IF(Table2[[#This Row],[Calculated Total]]=Table2[[#This Row],[Total Amount]],"Correct","Check")</f>
        <v>Correct</v>
      </c>
    </row>
    <row r="568" spans="1:11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8">
        <v>300</v>
      </c>
      <c r="I568" s="8">
        <v>900</v>
      </c>
      <c r="J568">
        <f t="shared" si="8"/>
        <v>900</v>
      </c>
      <c r="K568" t="str">
        <f>IF(Table2[[#This Row],[Calculated Total]]=Table2[[#This Row],[Total Amount]],"Correct","Check")</f>
        <v>Correct</v>
      </c>
    </row>
    <row r="569" spans="1:11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8">
        <v>300</v>
      </c>
      <c r="I569" s="8">
        <v>300</v>
      </c>
      <c r="J569">
        <f t="shared" si="8"/>
        <v>300</v>
      </c>
      <c r="K569" t="str">
        <f>IF(Table2[[#This Row],[Calculated Total]]=Table2[[#This Row],[Total Amount]],"Correct","Check")</f>
        <v>Correct</v>
      </c>
    </row>
    <row r="570" spans="1:11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8">
        <v>50</v>
      </c>
      <c r="I570" s="8">
        <v>200</v>
      </c>
      <c r="J570">
        <f t="shared" si="8"/>
        <v>200</v>
      </c>
      <c r="K570" t="str">
        <f>IF(Table2[[#This Row],[Calculated Total]]=Table2[[#This Row],[Total Amount]],"Correct","Check")</f>
        <v>Correct</v>
      </c>
    </row>
    <row r="571" spans="1:11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8">
        <v>500</v>
      </c>
      <c r="I571" s="8">
        <v>500</v>
      </c>
      <c r="J571">
        <f t="shared" si="8"/>
        <v>500</v>
      </c>
      <c r="K571" t="str">
        <f>IF(Table2[[#This Row],[Calculated Total]]=Table2[[#This Row],[Total Amount]],"Correct","Check")</f>
        <v>Correct</v>
      </c>
    </row>
    <row r="572" spans="1:11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8">
        <v>50</v>
      </c>
      <c r="I572" s="8">
        <v>50</v>
      </c>
      <c r="J572">
        <f t="shared" si="8"/>
        <v>50</v>
      </c>
      <c r="K572" t="str">
        <f>IF(Table2[[#This Row],[Calculated Total]]=Table2[[#This Row],[Total Amount]],"Correct","Check")</f>
        <v>Correct</v>
      </c>
    </row>
    <row r="573" spans="1:11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8">
        <v>500</v>
      </c>
      <c r="I573" s="8">
        <v>2000</v>
      </c>
      <c r="J573">
        <f t="shared" si="8"/>
        <v>2000</v>
      </c>
      <c r="K573" t="str">
        <f>IF(Table2[[#This Row],[Calculated Total]]=Table2[[#This Row],[Total Amount]],"Correct","Check")</f>
        <v>Correct</v>
      </c>
    </row>
    <row r="574" spans="1:11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8">
        <v>30</v>
      </c>
      <c r="I574" s="8">
        <v>60</v>
      </c>
      <c r="J574">
        <f t="shared" si="8"/>
        <v>60</v>
      </c>
      <c r="K574" t="str">
        <f>IF(Table2[[#This Row],[Calculated Total]]=Table2[[#This Row],[Total Amount]],"Correct","Check")</f>
        <v>Correct</v>
      </c>
    </row>
    <row r="575" spans="1:11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8">
        <v>25</v>
      </c>
      <c r="I575" s="8">
        <v>50</v>
      </c>
      <c r="J575">
        <f t="shared" si="8"/>
        <v>50</v>
      </c>
      <c r="K575" t="str">
        <f>IF(Table2[[#This Row],[Calculated Total]]=Table2[[#This Row],[Total Amount]],"Correct","Check")</f>
        <v>Correct</v>
      </c>
    </row>
    <row r="576" spans="1:11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8">
        <v>50</v>
      </c>
      <c r="I576" s="8">
        <v>100</v>
      </c>
      <c r="J576">
        <f t="shared" si="8"/>
        <v>100</v>
      </c>
      <c r="K576" t="str">
        <f>IF(Table2[[#This Row],[Calculated Total]]=Table2[[#This Row],[Total Amount]],"Correct","Check")</f>
        <v>Correct</v>
      </c>
    </row>
    <row r="577" spans="1:11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8">
        <v>50</v>
      </c>
      <c r="I577" s="8">
        <v>150</v>
      </c>
      <c r="J577">
        <f t="shared" si="8"/>
        <v>150</v>
      </c>
      <c r="K577" t="str">
        <f>IF(Table2[[#This Row],[Calculated Total]]=Table2[[#This Row],[Total Amount]],"Correct","Check")</f>
        <v>Correct</v>
      </c>
    </row>
    <row r="578" spans="1:11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8">
        <v>500</v>
      </c>
      <c r="I578" s="8">
        <v>2000</v>
      </c>
      <c r="J578">
        <f t="shared" ref="J578:J641" si="9">G:G*H:H</f>
        <v>2000</v>
      </c>
      <c r="K578" t="str">
        <f>IF(Table2[[#This Row],[Calculated Total]]=Table2[[#This Row],[Total Amount]],"Correct","Check")</f>
        <v>Correct</v>
      </c>
    </row>
    <row r="579" spans="1:11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8">
        <v>30</v>
      </c>
      <c r="I579" s="8">
        <v>120</v>
      </c>
      <c r="J579">
        <f t="shared" si="9"/>
        <v>120</v>
      </c>
      <c r="K579" t="str">
        <f>IF(Table2[[#This Row],[Calculated Total]]=Table2[[#This Row],[Total Amount]],"Correct","Check")</f>
        <v>Correct</v>
      </c>
    </row>
    <row r="580" spans="1:11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8">
        <v>30</v>
      </c>
      <c r="I580" s="8">
        <v>30</v>
      </c>
      <c r="J580">
        <f t="shared" si="9"/>
        <v>30</v>
      </c>
      <c r="K580" t="str">
        <f>IF(Table2[[#This Row],[Calculated Total]]=Table2[[#This Row],[Total Amount]],"Correct","Check")</f>
        <v>Correct</v>
      </c>
    </row>
    <row r="581" spans="1:11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8">
        <v>500</v>
      </c>
      <c r="I581" s="8">
        <v>1500</v>
      </c>
      <c r="J581">
        <f t="shared" si="9"/>
        <v>1500</v>
      </c>
      <c r="K581" t="str">
        <f>IF(Table2[[#This Row],[Calculated Total]]=Table2[[#This Row],[Total Amount]],"Correct","Check")</f>
        <v>Correct</v>
      </c>
    </row>
    <row r="582" spans="1:11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8">
        <v>30</v>
      </c>
      <c r="I582" s="8">
        <v>60</v>
      </c>
      <c r="J582">
        <f t="shared" si="9"/>
        <v>60</v>
      </c>
      <c r="K582" t="str">
        <f>IF(Table2[[#This Row],[Calculated Total]]=Table2[[#This Row],[Total Amount]],"Correct","Check")</f>
        <v>Correct</v>
      </c>
    </row>
    <row r="583" spans="1:11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8">
        <v>300</v>
      </c>
      <c r="I583" s="8">
        <v>900</v>
      </c>
      <c r="J583">
        <f t="shared" si="9"/>
        <v>900</v>
      </c>
      <c r="K583" t="str">
        <f>IF(Table2[[#This Row],[Calculated Total]]=Table2[[#This Row],[Total Amount]],"Correct","Check")</f>
        <v>Correct</v>
      </c>
    </row>
    <row r="584" spans="1:11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8">
        <v>25</v>
      </c>
      <c r="I584" s="8">
        <v>100</v>
      </c>
      <c r="J584">
        <f t="shared" si="9"/>
        <v>100</v>
      </c>
      <c r="K584" t="str">
        <f>IF(Table2[[#This Row],[Calculated Total]]=Table2[[#This Row],[Total Amount]],"Correct","Check")</f>
        <v>Correct</v>
      </c>
    </row>
    <row r="585" spans="1:11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8">
        <v>50</v>
      </c>
      <c r="I585" s="8">
        <v>200</v>
      </c>
      <c r="J585">
        <f t="shared" si="9"/>
        <v>200</v>
      </c>
      <c r="K585" t="str">
        <f>IF(Table2[[#This Row],[Calculated Total]]=Table2[[#This Row],[Total Amount]],"Correct","Check")</f>
        <v>Correct</v>
      </c>
    </row>
    <row r="586" spans="1:11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8">
        <v>25</v>
      </c>
      <c r="I586" s="8">
        <v>25</v>
      </c>
      <c r="J586">
        <f t="shared" si="9"/>
        <v>25</v>
      </c>
      <c r="K586" t="str">
        <f>IF(Table2[[#This Row],[Calculated Total]]=Table2[[#This Row],[Total Amount]],"Correct","Check")</f>
        <v>Correct</v>
      </c>
    </row>
    <row r="587" spans="1:11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8">
        <v>50</v>
      </c>
      <c r="I587" s="8">
        <v>50</v>
      </c>
      <c r="J587">
        <f t="shared" si="9"/>
        <v>50</v>
      </c>
      <c r="K587" t="str">
        <f>IF(Table2[[#This Row],[Calculated Total]]=Table2[[#This Row],[Total Amount]],"Correct","Check")</f>
        <v>Correct</v>
      </c>
    </row>
    <row r="588" spans="1:11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8">
        <v>300</v>
      </c>
      <c r="I588" s="8">
        <v>1200</v>
      </c>
      <c r="J588">
        <f t="shared" si="9"/>
        <v>1200</v>
      </c>
      <c r="K588" t="str">
        <f>IF(Table2[[#This Row],[Calculated Total]]=Table2[[#This Row],[Total Amount]],"Correct","Check")</f>
        <v>Correct</v>
      </c>
    </row>
    <row r="589" spans="1:11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8">
        <v>30</v>
      </c>
      <c r="I589" s="8">
        <v>60</v>
      </c>
      <c r="J589">
        <f t="shared" si="9"/>
        <v>60</v>
      </c>
      <c r="K589" t="str">
        <f>IF(Table2[[#This Row],[Calculated Total]]=Table2[[#This Row],[Total Amount]],"Correct","Check")</f>
        <v>Correct</v>
      </c>
    </row>
    <row r="590" spans="1:11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8">
        <v>500</v>
      </c>
      <c r="I590" s="8">
        <v>1000</v>
      </c>
      <c r="J590">
        <f t="shared" si="9"/>
        <v>1000</v>
      </c>
      <c r="K590" t="str">
        <f>IF(Table2[[#This Row],[Calculated Total]]=Table2[[#This Row],[Total Amount]],"Correct","Check")</f>
        <v>Correct</v>
      </c>
    </row>
    <row r="591" spans="1:11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8">
        <v>300</v>
      </c>
      <c r="I591" s="8">
        <v>900</v>
      </c>
      <c r="J591">
        <f t="shared" si="9"/>
        <v>900</v>
      </c>
      <c r="K591" t="str">
        <f>IF(Table2[[#This Row],[Calculated Total]]=Table2[[#This Row],[Total Amount]],"Correct","Check")</f>
        <v>Correct</v>
      </c>
    </row>
    <row r="592" spans="1:11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8">
        <v>25</v>
      </c>
      <c r="I592" s="8">
        <v>100</v>
      </c>
      <c r="J592">
        <f t="shared" si="9"/>
        <v>100</v>
      </c>
      <c r="K592" t="str">
        <f>IF(Table2[[#This Row],[Calculated Total]]=Table2[[#This Row],[Total Amount]],"Correct","Check")</f>
        <v>Correct</v>
      </c>
    </row>
    <row r="593" spans="1:11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8">
        <v>500</v>
      </c>
      <c r="I593" s="8">
        <v>2000</v>
      </c>
      <c r="J593">
        <f t="shared" si="9"/>
        <v>2000</v>
      </c>
      <c r="K593" t="str">
        <f>IF(Table2[[#This Row],[Calculated Total]]=Table2[[#This Row],[Total Amount]],"Correct","Check")</f>
        <v>Correct</v>
      </c>
    </row>
    <row r="594" spans="1:11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8">
        <v>30</v>
      </c>
      <c r="I594" s="8">
        <v>60</v>
      </c>
      <c r="J594">
        <f t="shared" si="9"/>
        <v>60</v>
      </c>
      <c r="K594" t="str">
        <f>IF(Table2[[#This Row],[Calculated Total]]=Table2[[#This Row],[Total Amount]],"Correct","Check")</f>
        <v>Correct</v>
      </c>
    </row>
    <row r="595" spans="1:11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8">
        <v>300</v>
      </c>
      <c r="I595" s="8">
        <v>600</v>
      </c>
      <c r="J595">
        <f t="shared" si="9"/>
        <v>600</v>
      </c>
      <c r="K595" t="str">
        <f>IF(Table2[[#This Row],[Calculated Total]]=Table2[[#This Row],[Total Amount]],"Correct","Check")</f>
        <v>Correct</v>
      </c>
    </row>
    <row r="596" spans="1:11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8">
        <v>500</v>
      </c>
      <c r="I596" s="8">
        <v>2000</v>
      </c>
      <c r="J596">
        <f t="shared" si="9"/>
        <v>2000</v>
      </c>
      <c r="K596" t="str">
        <f>IF(Table2[[#This Row],[Calculated Total]]=Table2[[#This Row],[Total Amount]],"Correct","Check")</f>
        <v>Correct</v>
      </c>
    </row>
    <row r="597" spans="1:11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8">
        <v>300</v>
      </c>
      <c r="I597" s="8">
        <v>300</v>
      </c>
      <c r="J597">
        <f t="shared" si="9"/>
        <v>300</v>
      </c>
      <c r="K597" t="str">
        <f>IF(Table2[[#This Row],[Calculated Total]]=Table2[[#This Row],[Total Amount]],"Correct","Check")</f>
        <v>Correct</v>
      </c>
    </row>
    <row r="598" spans="1:11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8">
        <v>300</v>
      </c>
      <c r="I598" s="8">
        <v>1200</v>
      </c>
      <c r="J598">
        <f t="shared" si="9"/>
        <v>1200</v>
      </c>
      <c r="K598" t="str">
        <f>IF(Table2[[#This Row],[Calculated Total]]=Table2[[#This Row],[Total Amount]],"Correct","Check")</f>
        <v>Correct</v>
      </c>
    </row>
    <row r="599" spans="1:11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8">
        <v>30</v>
      </c>
      <c r="I599" s="8">
        <v>120</v>
      </c>
      <c r="J599">
        <f t="shared" si="9"/>
        <v>120</v>
      </c>
      <c r="K599" t="str">
        <f>IF(Table2[[#This Row],[Calculated Total]]=Table2[[#This Row],[Total Amount]],"Correct","Check")</f>
        <v>Correct</v>
      </c>
    </row>
    <row r="600" spans="1:11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8">
        <v>50</v>
      </c>
      <c r="I600" s="8">
        <v>100</v>
      </c>
      <c r="J600">
        <f t="shared" si="9"/>
        <v>100</v>
      </c>
      <c r="K600" t="str">
        <f>IF(Table2[[#This Row],[Calculated Total]]=Table2[[#This Row],[Total Amount]],"Correct","Check")</f>
        <v>Correct</v>
      </c>
    </row>
    <row r="601" spans="1:11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8">
        <v>500</v>
      </c>
      <c r="I601" s="8">
        <v>1000</v>
      </c>
      <c r="J601">
        <f t="shared" si="9"/>
        <v>1000</v>
      </c>
      <c r="K601" t="str">
        <f>IF(Table2[[#This Row],[Calculated Total]]=Table2[[#This Row],[Total Amount]],"Correct","Check")</f>
        <v>Correct</v>
      </c>
    </row>
    <row r="602" spans="1:11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8">
        <v>30</v>
      </c>
      <c r="I602" s="8">
        <v>30</v>
      </c>
      <c r="J602">
        <f t="shared" si="9"/>
        <v>30</v>
      </c>
      <c r="K602" t="str">
        <f>IF(Table2[[#This Row],[Calculated Total]]=Table2[[#This Row],[Total Amount]],"Correct","Check")</f>
        <v>Correct</v>
      </c>
    </row>
    <row r="603" spans="1:11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8">
        <v>300</v>
      </c>
      <c r="I603" s="8">
        <v>300</v>
      </c>
      <c r="J603">
        <f t="shared" si="9"/>
        <v>300</v>
      </c>
      <c r="K603" t="str">
        <f>IF(Table2[[#This Row],[Calculated Total]]=Table2[[#This Row],[Total Amount]],"Correct","Check")</f>
        <v>Correct</v>
      </c>
    </row>
    <row r="604" spans="1:11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8">
        <v>30</v>
      </c>
      <c r="I604" s="8">
        <v>90</v>
      </c>
      <c r="J604">
        <f t="shared" si="9"/>
        <v>90</v>
      </c>
      <c r="K604" t="str">
        <f>IF(Table2[[#This Row],[Calculated Total]]=Table2[[#This Row],[Total Amount]],"Correct","Check")</f>
        <v>Correct</v>
      </c>
    </row>
    <row r="605" spans="1:11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8">
        <v>50</v>
      </c>
      <c r="I605" s="8">
        <v>200</v>
      </c>
      <c r="J605">
        <f t="shared" si="9"/>
        <v>200</v>
      </c>
      <c r="K605" t="str">
        <f>IF(Table2[[#This Row],[Calculated Total]]=Table2[[#This Row],[Total Amount]],"Correct","Check")</f>
        <v>Correct</v>
      </c>
    </row>
    <row r="606" spans="1:11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8">
        <v>500</v>
      </c>
      <c r="I606" s="8">
        <v>1000</v>
      </c>
      <c r="J606">
        <f t="shared" si="9"/>
        <v>1000</v>
      </c>
      <c r="K606" t="str">
        <f>IF(Table2[[#This Row],[Calculated Total]]=Table2[[#This Row],[Total Amount]],"Correct","Check")</f>
        <v>Correct</v>
      </c>
    </row>
    <row r="607" spans="1:11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8">
        <v>50</v>
      </c>
      <c r="I607" s="8">
        <v>50</v>
      </c>
      <c r="J607">
        <f t="shared" si="9"/>
        <v>50</v>
      </c>
      <c r="K607" t="str">
        <f>IF(Table2[[#This Row],[Calculated Total]]=Table2[[#This Row],[Total Amount]],"Correct","Check")</f>
        <v>Correct</v>
      </c>
    </row>
    <row r="608" spans="1:11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8">
        <v>25</v>
      </c>
      <c r="I608" s="8">
        <v>75</v>
      </c>
      <c r="J608">
        <f t="shared" si="9"/>
        <v>75</v>
      </c>
      <c r="K608" t="str">
        <f>IF(Table2[[#This Row],[Calculated Total]]=Table2[[#This Row],[Total Amount]],"Correct","Check")</f>
        <v>Correct</v>
      </c>
    </row>
    <row r="609" spans="1:11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8">
        <v>500</v>
      </c>
      <c r="I609" s="8">
        <v>1500</v>
      </c>
      <c r="J609">
        <f t="shared" si="9"/>
        <v>1500</v>
      </c>
      <c r="K609" t="str">
        <f>IF(Table2[[#This Row],[Calculated Total]]=Table2[[#This Row],[Total Amount]],"Correct","Check")</f>
        <v>Correct</v>
      </c>
    </row>
    <row r="610" spans="1:11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8">
        <v>50</v>
      </c>
      <c r="I610" s="8">
        <v>100</v>
      </c>
      <c r="J610">
        <f t="shared" si="9"/>
        <v>100</v>
      </c>
      <c r="K610" t="str">
        <f>IF(Table2[[#This Row],[Calculated Total]]=Table2[[#This Row],[Total Amount]],"Correct","Check")</f>
        <v>Correct</v>
      </c>
    </row>
    <row r="611" spans="1:11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8">
        <v>300</v>
      </c>
      <c r="I611" s="8">
        <v>600</v>
      </c>
      <c r="J611">
        <f t="shared" si="9"/>
        <v>600</v>
      </c>
      <c r="K611" t="str">
        <f>IF(Table2[[#This Row],[Calculated Total]]=Table2[[#This Row],[Total Amount]],"Correct","Check")</f>
        <v>Correct</v>
      </c>
    </row>
    <row r="612" spans="1:11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8">
        <v>500</v>
      </c>
      <c r="I612" s="8">
        <v>1500</v>
      </c>
      <c r="J612">
        <f t="shared" si="9"/>
        <v>1500</v>
      </c>
      <c r="K612" t="str">
        <f>IF(Table2[[#This Row],[Calculated Total]]=Table2[[#This Row],[Total Amount]],"Correct","Check")</f>
        <v>Correct</v>
      </c>
    </row>
    <row r="613" spans="1:11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8">
        <v>500</v>
      </c>
      <c r="I613" s="8">
        <v>500</v>
      </c>
      <c r="J613">
        <f t="shared" si="9"/>
        <v>500</v>
      </c>
      <c r="K613" t="str">
        <f>IF(Table2[[#This Row],[Calculated Total]]=Table2[[#This Row],[Total Amount]],"Correct","Check")</f>
        <v>Correct</v>
      </c>
    </row>
    <row r="614" spans="1:11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8">
        <v>30</v>
      </c>
      <c r="I614" s="8">
        <v>90</v>
      </c>
      <c r="J614">
        <f t="shared" si="9"/>
        <v>90</v>
      </c>
      <c r="K614" t="str">
        <f>IF(Table2[[#This Row],[Calculated Total]]=Table2[[#This Row],[Total Amount]],"Correct","Check")</f>
        <v>Correct</v>
      </c>
    </row>
    <row r="615" spans="1:11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8">
        <v>300</v>
      </c>
      <c r="I615" s="8">
        <v>1200</v>
      </c>
      <c r="J615">
        <f t="shared" si="9"/>
        <v>1200</v>
      </c>
      <c r="K615" t="str">
        <f>IF(Table2[[#This Row],[Calculated Total]]=Table2[[#This Row],[Total Amount]],"Correct","Check")</f>
        <v>Correct</v>
      </c>
    </row>
    <row r="616" spans="1:11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8">
        <v>25</v>
      </c>
      <c r="I616" s="8">
        <v>100</v>
      </c>
      <c r="J616">
        <f t="shared" si="9"/>
        <v>100</v>
      </c>
      <c r="K616" t="str">
        <f>IF(Table2[[#This Row],[Calculated Total]]=Table2[[#This Row],[Total Amount]],"Correct","Check")</f>
        <v>Correct</v>
      </c>
    </row>
    <row r="617" spans="1:11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8">
        <v>50</v>
      </c>
      <c r="I617" s="8">
        <v>100</v>
      </c>
      <c r="J617">
        <f t="shared" si="9"/>
        <v>100</v>
      </c>
      <c r="K617" t="str">
        <f>IF(Table2[[#This Row],[Calculated Total]]=Table2[[#This Row],[Total Amount]],"Correct","Check")</f>
        <v>Correct</v>
      </c>
    </row>
    <row r="618" spans="1:11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8">
        <v>30</v>
      </c>
      <c r="I618" s="8">
        <v>30</v>
      </c>
      <c r="J618">
        <f t="shared" si="9"/>
        <v>30</v>
      </c>
      <c r="K618" t="str">
        <f>IF(Table2[[#This Row],[Calculated Total]]=Table2[[#This Row],[Total Amount]],"Correct","Check")</f>
        <v>Correct</v>
      </c>
    </row>
    <row r="619" spans="1:11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8">
        <v>50</v>
      </c>
      <c r="I619" s="8">
        <v>50</v>
      </c>
      <c r="J619">
        <f t="shared" si="9"/>
        <v>50</v>
      </c>
      <c r="K619" t="str">
        <f>IF(Table2[[#This Row],[Calculated Total]]=Table2[[#This Row],[Total Amount]],"Correct","Check")</f>
        <v>Correct</v>
      </c>
    </row>
    <row r="620" spans="1:11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8">
        <v>25</v>
      </c>
      <c r="I620" s="8">
        <v>100</v>
      </c>
      <c r="J620">
        <f t="shared" si="9"/>
        <v>100</v>
      </c>
      <c r="K620" t="str">
        <f>IF(Table2[[#This Row],[Calculated Total]]=Table2[[#This Row],[Total Amount]],"Correct","Check")</f>
        <v>Correct</v>
      </c>
    </row>
    <row r="621" spans="1:11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8">
        <v>25</v>
      </c>
      <c r="I621" s="8">
        <v>75</v>
      </c>
      <c r="J621">
        <f t="shared" si="9"/>
        <v>75</v>
      </c>
      <c r="K621" t="str">
        <f>IF(Table2[[#This Row],[Calculated Total]]=Table2[[#This Row],[Total Amount]],"Correct","Check")</f>
        <v>Correct</v>
      </c>
    </row>
    <row r="622" spans="1:11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8">
        <v>500</v>
      </c>
      <c r="I622" s="8">
        <v>1000</v>
      </c>
      <c r="J622">
        <f t="shared" si="9"/>
        <v>1000</v>
      </c>
      <c r="K622" t="str">
        <f>IF(Table2[[#This Row],[Calculated Total]]=Table2[[#This Row],[Total Amount]],"Correct","Check")</f>
        <v>Correct</v>
      </c>
    </row>
    <row r="623" spans="1:11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8">
        <v>25</v>
      </c>
      <c r="I623" s="8">
        <v>75</v>
      </c>
      <c r="J623">
        <f t="shared" si="9"/>
        <v>75</v>
      </c>
      <c r="K623" t="str">
        <f>IF(Table2[[#This Row],[Calculated Total]]=Table2[[#This Row],[Total Amount]],"Correct","Check")</f>
        <v>Correct</v>
      </c>
    </row>
    <row r="624" spans="1:11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8">
        <v>50</v>
      </c>
      <c r="I624" s="8">
        <v>150</v>
      </c>
      <c r="J624">
        <f t="shared" si="9"/>
        <v>150</v>
      </c>
      <c r="K624" t="str">
        <f>IF(Table2[[#This Row],[Calculated Total]]=Table2[[#This Row],[Total Amount]],"Correct","Check")</f>
        <v>Correct</v>
      </c>
    </row>
    <row r="625" spans="1:11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8">
        <v>300</v>
      </c>
      <c r="I625" s="8">
        <v>900</v>
      </c>
      <c r="J625">
        <f t="shared" si="9"/>
        <v>900</v>
      </c>
      <c r="K625" t="str">
        <f>IF(Table2[[#This Row],[Calculated Total]]=Table2[[#This Row],[Total Amount]],"Correct","Check")</f>
        <v>Correct</v>
      </c>
    </row>
    <row r="626" spans="1:11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8">
        <v>300</v>
      </c>
      <c r="I626" s="8">
        <v>300</v>
      </c>
      <c r="J626">
        <f t="shared" si="9"/>
        <v>300</v>
      </c>
      <c r="K626" t="str">
        <f>IF(Table2[[#This Row],[Calculated Total]]=Table2[[#This Row],[Total Amount]],"Correct","Check")</f>
        <v>Correct</v>
      </c>
    </row>
    <row r="627" spans="1:11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8">
        <v>500</v>
      </c>
      <c r="I627" s="8">
        <v>2000</v>
      </c>
      <c r="J627">
        <f t="shared" si="9"/>
        <v>2000</v>
      </c>
      <c r="K627" t="str">
        <f>IF(Table2[[#This Row],[Calculated Total]]=Table2[[#This Row],[Total Amount]],"Correct","Check")</f>
        <v>Correct</v>
      </c>
    </row>
    <row r="628" spans="1:11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8">
        <v>50</v>
      </c>
      <c r="I628" s="8">
        <v>50</v>
      </c>
      <c r="J628">
        <f t="shared" si="9"/>
        <v>50</v>
      </c>
      <c r="K628" t="str">
        <f>IF(Table2[[#This Row],[Calculated Total]]=Table2[[#This Row],[Total Amount]],"Correct","Check")</f>
        <v>Correct</v>
      </c>
    </row>
    <row r="629" spans="1:11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8">
        <v>50</v>
      </c>
      <c r="I629" s="8">
        <v>200</v>
      </c>
      <c r="J629">
        <f t="shared" si="9"/>
        <v>200</v>
      </c>
      <c r="K629" t="str">
        <f>IF(Table2[[#This Row],[Calculated Total]]=Table2[[#This Row],[Total Amount]],"Correct","Check")</f>
        <v>Correct</v>
      </c>
    </row>
    <row r="630" spans="1:11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8">
        <v>25</v>
      </c>
      <c r="I630" s="8">
        <v>50</v>
      </c>
      <c r="J630">
        <f t="shared" si="9"/>
        <v>50</v>
      </c>
      <c r="K630" t="str">
        <f>IF(Table2[[#This Row],[Calculated Total]]=Table2[[#This Row],[Total Amount]],"Correct","Check")</f>
        <v>Correct</v>
      </c>
    </row>
    <row r="631" spans="1:11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8">
        <v>50</v>
      </c>
      <c r="I631" s="8">
        <v>100</v>
      </c>
      <c r="J631">
        <f t="shared" si="9"/>
        <v>100</v>
      </c>
      <c r="K631" t="str">
        <f>IF(Table2[[#This Row],[Calculated Total]]=Table2[[#This Row],[Total Amount]],"Correct","Check")</f>
        <v>Correct</v>
      </c>
    </row>
    <row r="632" spans="1:11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8">
        <v>30</v>
      </c>
      <c r="I632" s="8">
        <v>90</v>
      </c>
      <c r="J632">
        <f t="shared" si="9"/>
        <v>90</v>
      </c>
      <c r="K632" t="str">
        <f>IF(Table2[[#This Row],[Calculated Total]]=Table2[[#This Row],[Total Amount]],"Correct","Check")</f>
        <v>Correct</v>
      </c>
    </row>
    <row r="633" spans="1:11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8">
        <v>25</v>
      </c>
      <c r="I633" s="8">
        <v>100</v>
      </c>
      <c r="J633">
        <f t="shared" si="9"/>
        <v>100</v>
      </c>
      <c r="K633" t="str">
        <f>IF(Table2[[#This Row],[Calculated Total]]=Table2[[#This Row],[Total Amount]],"Correct","Check")</f>
        <v>Correct</v>
      </c>
    </row>
    <row r="634" spans="1:11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8">
        <v>30</v>
      </c>
      <c r="I634" s="8">
        <v>120</v>
      </c>
      <c r="J634">
        <f t="shared" si="9"/>
        <v>120</v>
      </c>
      <c r="K634" t="str">
        <f>IF(Table2[[#This Row],[Calculated Total]]=Table2[[#This Row],[Total Amount]],"Correct","Check")</f>
        <v>Correct</v>
      </c>
    </row>
    <row r="635" spans="1:11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8">
        <v>500</v>
      </c>
      <c r="I635" s="8">
        <v>2000</v>
      </c>
      <c r="J635">
        <f t="shared" si="9"/>
        <v>2000</v>
      </c>
      <c r="K635" t="str">
        <f>IF(Table2[[#This Row],[Calculated Total]]=Table2[[#This Row],[Total Amount]],"Correct","Check")</f>
        <v>Correct</v>
      </c>
    </row>
    <row r="636" spans="1:11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8">
        <v>300</v>
      </c>
      <c r="I636" s="8">
        <v>900</v>
      </c>
      <c r="J636">
        <f t="shared" si="9"/>
        <v>900</v>
      </c>
      <c r="K636" t="str">
        <f>IF(Table2[[#This Row],[Calculated Total]]=Table2[[#This Row],[Total Amount]],"Correct","Check")</f>
        <v>Correct</v>
      </c>
    </row>
    <row r="637" spans="1:11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8">
        <v>500</v>
      </c>
      <c r="I637" s="8">
        <v>1500</v>
      </c>
      <c r="J637">
        <f t="shared" si="9"/>
        <v>1500</v>
      </c>
      <c r="K637" t="str">
        <f>IF(Table2[[#This Row],[Calculated Total]]=Table2[[#This Row],[Total Amount]],"Correct","Check")</f>
        <v>Correct</v>
      </c>
    </row>
    <row r="638" spans="1:11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8">
        <v>300</v>
      </c>
      <c r="I638" s="8">
        <v>600</v>
      </c>
      <c r="J638">
        <f t="shared" si="9"/>
        <v>600</v>
      </c>
      <c r="K638" t="str">
        <f>IF(Table2[[#This Row],[Calculated Total]]=Table2[[#This Row],[Total Amount]],"Correct","Check")</f>
        <v>Correct</v>
      </c>
    </row>
    <row r="639" spans="1:11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8">
        <v>500</v>
      </c>
      <c r="I639" s="8">
        <v>500</v>
      </c>
      <c r="J639">
        <f t="shared" si="9"/>
        <v>500</v>
      </c>
      <c r="K639" t="str">
        <f>IF(Table2[[#This Row],[Calculated Total]]=Table2[[#This Row],[Total Amount]],"Correct","Check")</f>
        <v>Correct</v>
      </c>
    </row>
    <row r="640" spans="1:11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8">
        <v>50</v>
      </c>
      <c r="I640" s="8">
        <v>200</v>
      </c>
      <c r="J640">
        <f t="shared" si="9"/>
        <v>200</v>
      </c>
      <c r="K640" t="str">
        <f>IF(Table2[[#This Row],[Calculated Total]]=Table2[[#This Row],[Total Amount]],"Correct","Check")</f>
        <v>Correct</v>
      </c>
    </row>
    <row r="641" spans="1:11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8">
        <v>30</v>
      </c>
      <c r="I641" s="8">
        <v>120</v>
      </c>
      <c r="J641">
        <f t="shared" si="9"/>
        <v>120</v>
      </c>
      <c r="K641" t="str">
        <f>IF(Table2[[#This Row],[Calculated Total]]=Table2[[#This Row],[Total Amount]],"Correct","Check")</f>
        <v>Correct</v>
      </c>
    </row>
    <row r="642" spans="1:11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8">
        <v>300</v>
      </c>
      <c r="I642" s="8">
        <v>300</v>
      </c>
      <c r="J642">
        <f t="shared" ref="J642:J705" si="10">G:G*H:H</f>
        <v>300</v>
      </c>
      <c r="K642" t="str">
        <f>IF(Table2[[#This Row],[Calculated Total]]=Table2[[#This Row],[Total Amount]],"Correct","Check")</f>
        <v>Correct</v>
      </c>
    </row>
    <row r="643" spans="1:11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8">
        <v>25</v>
      </c>
      <c r="I643" s="8">
        <v>100</v>
      </c>
      <c r="J643">
        <f t="shared" si="10"/>
        <v>100</v>
      </c>
      <c r="K643" t="str">
        <f>IF(Table2[[#This Row],[Calculated Total]]=Table2[[#This Row],[Total Amount]],"Correct","Check")</f>
        <v>Correct</v>
      </c>
    </row>
    <row r="644" spans="1:11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8">
        <v>30</v>
      </c>
      <c r="I644" s="8">
        <v>90</v>
      </c>
      <c r="J644">
        <f t="shared" si="10"/>
        <v>90</v>
      </c>
      <c r="K644" t="str">
        <f>IF(Table2[[#This Row],[Calculated Total]]=Table2[[#This Row],[Total Amount]],"Correct","Check")</f>
        <v>Correct</v>
      </c>
    </row>
    <row r="645" spans="1:11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8">
        <v>25</v>
      </c>
      <c r="I645" s="8">
        <v>75</v>
      </c>
      <c r="J645">
        <f t="shared" si="10"/>
        <v>75</v>
      </c>
      <c r="K645" t="str">
        <f>IF(Table2[[#This Row],[Calculated Total]]=Table2[[#This Row],[Total Amount]],"Correct","Check")</f>
        <v>Correct</v>
      </c>
    </row>
    <row r="646" spans="1:11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8">
        <v>30</v>
      </c>
      <c r="I646" s="8">
        <v>120</v>
      </c>
      <c r="J646">
        <f t="shared" si="10"/>
        <v>120</v>
      </c>
      <c r="K646" t="str">
        <f>IF(Table2[[#This Row],[Calculated Total]]=Table2[[#This Row],[Total Amount]],"Correct","Check")</f>
        <v>Correct</v>
      </c>
    </row>
    <row r="647" spans="1:11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8">
        <v>30</v>
      </c>
      <c r="I647" s="8">
        <v>90</v>
      </c>
      <c r="J647">
        <f t="shared" si="10"/>
        <v>90</v>
      </c>
      <c r="K647" t="str">
        <f>IF(Table2[[#This Row],[Calculated Total]]=Table2[[#This Row],[Total Amount]],"Correct","Check")</f>
        <v>Correct</v>
      </c>
    </row>
    <row r="648" spans="1:11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8">
        <v>500</v>
      </c>
      <c r="I648" s="8">
        <v>1500</v>
      </c>
      <c r="J648">
        <f t="shared" si="10"/>
        <v>1500</v>
      </c>
      <c r="K648" t="str">
        <f>IF(Table2[[#This Row],[Calculated Total]]=Table2[[#This Row],[Total Amount]],"Correct","Check")</f>
        <v>Correct</v>
      </c>
    </row>
    <row r="649" spans="1:11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8">
        <v>300</v>
      </c>
      <c r="I649" s="8">
        <v>1200</v>
      </c>
      <c r="J649">
        <f t="shared" si="10"/>
        <v>1200</v>
      </c>
      <c r="K649" t="str">
        <f>IF(Table2[[#This Row],[Calculated Total]]=Table2[[#This Row],[Total Amount]],"Correct","Check")</f>
        <v>Correct</v>
      </c>
    </row>
    <row r="650" spans="1:11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8">
        <v>300</v>
      </c>
      <c r="I650" s="8">
        <v>600</v>
      </c>
      <c r="J650">
        <f t="shared" si="10"/>
        <v>600</v>
      </c>
      <c r="K650" t="str">
        <f>IF(Table2[[#This Row],[Calculated Total]]=Table2[[#This Row],[Total Amount]],"Correct","Check")</f>
        <v>Correct</v>
      </c>
    </row>
    <row r="651" spans="1:11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8">
        <v>30</v>
      </c>
      <c r="I651" s="8">
        <v>30</v>
      </c>
      <c r="J651">
        <f t="shared" si="10"/>
        <v>30</v>
      </c>
      <c r="K651" t="str">
        <f>IF(Table2[[#This Row],[Calculated Total]]=Table2[[#This Row],[Total Amount]],"Correct","Check")</f>
        <v>Correct</v>
      </c>
    </row>
    <row r="652" spans="1:11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8">
        <v>50</v>
      </c>
      <c r="I652" s="8">
        <v>150</v>
      </c>
      <c r="J652">
        <f t="shared" si="10"/>
        <v>150</v>
      </c>
      <c r="K652" t="str">
        <f>IF(Table2[[#This Row],[Calculated Total]]=Table2[[#This Row],[Total Amount]],"Correct","Check")</f>
        <v>Correct</v>
      </c>
    </row>
    <row r="653" spans="1:11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8">
        <v>50</v>
      </c>
      <c r="I653" s="8">
        <v>100</v>
      </c>
      <c r="J653">
        <f t="shared" si="10"/>
        <v>100</v>
      </c>
      <c r="K653" t="str">
        <f>IF(Table2[[#This Row],[Calculated Total]]=Table2[[#This Row],[Total Amount]],"Correct","Check")</f>
        <v>Correct</v>
      </c>
    </row>
    <row r="654" spans="1:11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8">
        <v>25</v>
      </c>
      <c r="I654" s="8">
        <v>75</v>
      </c>
      <c r="J654">
        <f t="shared" si="10"/>
        <v>75</v>
      </c>
      <c r="K654" t="str">
        <f>IF(Table2[[#This Row],[Calculated Total]]=Table2[[#This Row],[Total Amount]],"Correct","Check")</f>
        <v>Correct</v>
      </c>
    </row>
    <row r="655" spans="1:11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8">
        <v>25</v>
      </c>
      <c r="I655" s="8">
        <v>75</v>
      </c>
      <c r="J655">
        <f t="shared" si="10"/>
        <v>75</v>
      </c>
      <c r="K655" t="str">
        <f>IF(Table2[[#This Row],[Calculated Total]]=Table2[[#This Row],[Total Amount]],"Correct","Check")</f>
        <v>Correct</v>
      </c>
    </row>
    <row r="656" spans="1:11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8">
        <v>500</v>
      </c>
      <c r="I656" s="8">
        <v>500</v>
      </c>
      <c r="J656">
        <f t="shared" si="10"/>
        <v>500</v>
      </c>
      <c r="K656" t="str">
        <f>IF(Table2[[#This Row],[Calculated Total]]=Table2[[#This Row],[Total Amount]],"Correct","Check")</f>
        <v>Correct</v>
      </c>
    </row>
    <row r="657" spans="1:11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8">
        <v>30</v>
      </c>
      <c r="I657" s="8">
        <v>90</v>
      </c>
      <c r="J657">
        <f t="shared" si="10"/>
        <v>90</v>
      </c>
      <c r="K657" t="str">
        <f>IF(Table2[[#This Row],[Calculated Total]]=Table2[[#This Row],[Total Amount]],"Correct","Check")</f>
        <v>Correct</v>
      </c>
    </row>
    <row r="658" spans="1:11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8">
        <v>25</v>
      </c>
      <c r="I658" s="8">
        <v>25</v>
      </c>
      <c r="J658">
        <f t="shared" si="10"/>
        <v>25</v>
      </c>
      <c r="K658" t="str">
        <f>IF(Table2[[#This Row],[Calculated Total]]=Table2[[#This Row],[Total Amount]],"Correct","Check")</f>
        <v>Correct</v>
      </c>
    </row>
    <row r="659" spans="1:11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8">
        <v>25</v>
      </c>
      <c r="I659" s="8">
        <v>25</v>
      </c>
      <c r="J659">
        <f t="shared" si="10"/>
        <v>25</v>
      </c>
      <c r="K659" t="str">
        <f>IF(Table2[[#This Row],[Calculated Total]]=Table2[[#This Row],[Total Amount]],"Correct","Check")</f>
        <v>Correct</v>
      </c>
    </row>
    <row r="660" spans="1:11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8">
        <v>30</v>
      </c>
      <c r="I660" s="8">
        <v>30</v>
      </c>
      <c r="J660">
        <f t="shared" si="10"/>
        <v>30</v>
      </c>
      <c r="K660" t="str">
        <f>IF(Table2[[#This Row],[Calculated Total]]=Table2[[#This Row],[Total Amount]],"Correct","Check")</f>
        <v>Correct</v>
      </c>
    </row>
    <row r="661" spans="1:11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8">
        <v>500</v>
      </c>
      <c r="I661" s="8">
        <v>1000</v>
      </c>
      <c r="J661">
        <f t="shared" si="10"/>
        <v>1000</v>
      </c>
      <c r="K661" t="str">
        <f>IF(Table2[[#This Row],[Calculated Total]]=Table2[[#This Row],[Total Amount]],"Correct","Check")</f>
        <v>Correct</v>
      </c>
    </row>
    <row r="662" spans="1:11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8">
        <v>25</v>
      </c>
      <c r="I662" s="8">
        <v>100</v>
      </c>
      <c r="J662">
        <f t="shared" si="10"/>
        <v>100</v>
      </c>
      <c r="K662" t="str">
        <f>IF(Table2[[#This Row],[Calculated Total]]=Table2[[#This Row],[Total Amount]],"Correct","Check")</f>
        <v>Correct</v>
      </c>
    </row>
    <row r="663" spans="1:11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8">
        <v>500</v>
      </c>
      <c r="I663" s="8">
        <v>1000</v>
      </c>
      <c r="J663">
        <f t="shared" si="10"/>
        <v>1000</v>
      </c>
      <c r="K663" t="str">
        <f>IF(Table2[[#This Row],[Calculated Total]]=Table2[[#This Row],[Total Amount]],"Correct","Check")</f>
        <v>Correct</v>
      </c>
    </row>
    <row r="664" spans="1:11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8">
        <v>300</v>
      </c>
      <c r="I664" s="8">
        <v>1200</v>
      </c>
      <c r="J664">
        <f t="shared" si="10"/>
        <v>1200</v>
      </c>
      <c r="K664" t="str">
        <f>IF(Table2[[#This Row],[Calculated Total]]=Table2[[#This Row],[Total Amount]],"Correct","Check")</f>
        <v>Correct</v>
      </c>
    </row>
    <row r="665" spans="1:11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8">
        <v>500</v>
      </c>
      <c r="I665" s="8">
        <v>2000</v>
      </c>
      <c r="J665">
        <f t="shared" si="10"/>
        <v>2000</v>
      </c>
      <c r="K665" t="str">
        <f>IF(Table2[[#This Row],[Calculated Total]]=Table2[[#This Row],[Total Amount]],"Correct","Check")</f>
        <v>Correct</v>
      </c>
    </row>
    <row r="666" spans="1:11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8">
        <v>50</v>
      </c>
      <c r="I666" s="8">
        <v>50</v>
      </c>
      <c r="J666">
        <f t="shared" si="10"/>
        <v>50</v>
      </c>
      <c r="K666" t="str">
        <f>IF(Table2[[#This Row],[Calculated Total]]=Table2[[#This Row],[Total Amount]],"Correct","Check")</f>
        <v>Correct</v>
      </c>
    </row>
    <row r="667" spans="1:11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8">
        <v>50</v>
      </c>
      <c r="I667" s="8">
        <v>150</v>
      </c>
      <c r="J667">
        <f t="shared" si="10"/>
        <v>150</v>
      </c>
      <c r="K667" t="str">
        <f>IF(Table2[[#This Row],[Calculated Total]]=Table2[[#This Row],[Total Amount]],"Correct","Check")</f>
        <v>Correct</v>
      </c>
    </row>
    <row r="668" spans="1:11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8">
        <v>500</v>
      </c>
      <c r="I668" s="8">
        <v>500</v>
      </c>
      <c r="J668">
        <f t="shared" si="10"/>
        <v>500</v>
      </c>
      <c r="K668" t="str">
        <f>IF(Table2[[#This Row],[Calculated Total]]=Table2[[#This Row],[Total Amount]],"Correct","Check")</f>
        <v>Correct</v>
      </c>
    </row>
    <row r="669" spans="1:11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8">
        <v>50</v>
      </c>
      <c r="I669" s="8">
        <v>150</v>
      </c>
      <c r="J669">
        <f t="shared" si="10"/>
        <v>150</v>
      </c>
      <c r="K669" t="str">
        <f>IF(Table2[[#This Row],[Calculated Total]]=Table2[[#This Row],[Total Amount]],"Correct","Check")</f>
        <v>Correct</v>
      </c>
    </row>
    <row r="670" spans="1:11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8">
        <v>300</v>
      </c>
      <c r="I670" s="8">
        <v>1200</v>
      </c>
      <c r="J670">
        <f t="shared" si="10"/>
        <v>1200</v>
      </c>
      <c r="K670" t="str">
        <f>IF(Table2[[#This Row],[Calculated Total]]=Table2[[#This Row],[Total Amount]],"Correct","Check")</f>
        <v>Correct</v>
      </c>
    </row>
    <row r="671" spans="1:11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8">
        <v>30</v>
      </c>
      <c r="I671" s="8">
        <v>30</v>
      </c>
      <c r="J671">
        <f t="shared" si="10"/>
        <v>30</v>
      </c>
      <c r="K671" t="str">
        <f>IF(Table2[[#This Row],[Calculated Total]]=Table2[[#This Row],[Total Amount]],"Correct","Check")</f>
        <v>Correct</v>
      </c>
    </row>
    <row r="672" spans="1:11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8">
        <v>50</v>
      </c>
      <c r="I672" s="8">
        <v>150</v>
      </c>
      <c r="J672">
        <f t="shared" si="10"/>
        <v>150</v>
      </c>
      <c r="K672" t="str">
        <f>IF(Table2[[#This Row],[Calculated Total]]=Table2[[#This Row],[Total Amount]],"Correct","Check")</f>
        <v>Correct</v>
      </c>
    </row>
    <row r="673" spans="1:11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8">
        <v>50</v>
      </c>
      <c r="I673" s="8">
        <v>100</v>
      </c>
      <c r="J673">
        <f t="shared" si="10"/>
        <v>100</v>
      </c>
      <c r="K673" t="str">
        <f>IF(Table2[[#This Row],[Calculated Total]]=Table2[[#This Row],[Total Amount]],"Correct","Check")</f>
        <v>Correct</v>
      </c>
    </row>
    <row r="674" spans="1:11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8">
        <v>500</v>
      </c>
      <c r="I674" s="8">
        <v>1500</v>
      </c>
      <c r="J674">
        <f t="shared" si="10"/>
        <v>1500</v>
      </c>
      <c r="K674" t="str">
        <f>IF(Table2[[#This Row],[Calculated Total]]=Table2[[#This Row],[Total Amount]],"Correct","Check")</f>
        <v>Correct</v>
      </c>
    </row>
    <row r="675" spans="1:11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8">
        <v>300</v>
      </c>
      <c r="I675" s="8">
        <v>300</v>
      </c>
      <c r="J675">
        <f t="shared" si="10"/>
        <v>300</v>
      </c>
      <c r="K675" t="str">
        <f>IF(Table2[[#This Row],[Calculated Total]]=Table2[[#This Row],[Total Amount]],"Correct","Check")</f>
        <v>Correct</v>
      </c>
    </row>
    <row r="676" spans="1:11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8">
        <v>30</v>
      </c>
      <c r="I676" s="8">
        <v>60</v>
      </c>
      <c r="J676">
        <f t="shared" si="10"/>
        <v>60</v>
      </c>
      <c r="K676" t="str">
        <f>IF(Table2[[#This Row],[Calculated Total]]=Table2[[#This Row],[Total Amount]],"Correct","Check")</f>
        <v>Correct</v>
      </c>
    </row>
    <row r="677" spans="1:11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8">
        <v>500</v>
      </c>
      <c r="I677" s="8">
        <v>1500</v>
      </c>
      <c r="J677">
        <f t="shared" si="10"/>
        <v>1500</v>
      </c>
      <c r="K677" t="str">
        <f>IF(Table2[[#This Row],[Calculated Total]]=Table2[[#This Row],[Total Amount]],"Correct","Check")</f>
        <v>Correct</v>
      </c>
    </row>
    <row r="678" spans="1:11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8">
        <v>500</v>
      </c>
      <c r="I678" s="8">
        <v>1500</v>
      </c>
      <c r="J678">
        <f t="shared" si="10"/>
        <v>1500</v>
      </c>
      <c r="K678" t="str">
        <f>IF(Table2[[#This Row],[Calculated Total]]=Table2[[#This Row],[Total Amount]],"Correct","Check")</f>
        <v>Correct</v>
      </c>
    </row>
    <row r="679" spans="1:11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8">
        <v>300</v>
      </c>
      <c r="I679" s="8">
        <v>900</v>
      </c>
      <c r="J679">
        <f t="shared" si="10"/>
        <v>900</v>
      </c>
      <c r="K679" t="str">
        <f>IF(Table2[[#This Row],[Calculated Total]]=Table2[[#This Row],[Total Amount]],"Correct","Check")</f>
        <v>Correct</v>
      </c>
    </row>
    <row r="680" spans="1:11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8">
        <v>30</v>
      </c>
      <c r="I680" s="8">
        <v>90</v>
      </c>
      <c r="J680">
        <f t="shared" si="10"/>
        <v>90</v>
      </c>
      <c r="K680" t="str">
        <f>IF(Table2[[#This Row],[Calculated Total]]=Table2[[#This Row],[Total Amount]],"Correct","Check")</f>
        <v>Correct</v>
      </c>
    </row>
    <row r="681" spans="1:11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8">
        <v>300</v>
      </c>
      <c r="I681" s="8">
        <v>900</v>
      </c>
      <c r="J681">
        <f t="shared" si="10"/>
        <v>900</v>
      </c>
      <c r="K681" t="str">
        <f>IF(Table2[[#This Row],[Calculated Total]]=Table2[[#This Row],[Total Amount]],"Correct","Check")</f>
        <v>Correct</v>
      </c>
    </row>
    <row r="682" spans="1:11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8">
        <v>30</v>
      </c>
      <c r="I682" s="8">
        <v>60</v>
      </c>
      <c r="J682">
        <f t="shared" si="10"/>
        <v>60</v>
      </c>
      <c r="K682" t="str">
        <f>IF(Table2[[#This Row],[Calculated Total]]=Table2[[#This Row],[Total Amount]],"Correct","Check")</f>
        <v>Correct</v>
      </c>
    </row>
    <row r="683" spans="1:11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8">
        <v>300</v>
      </c>
      <c r="I683" s="8">
        <v>1200</v>
      </c>
      <c r="J683">
        <f t="shared" si="10"/>
        <v>1200</v>
      </c>
      <c r="K683" t="str">
        <f>IF(Table2[[#This Row],[Calculated Total]]=Table2[[#This Row],[Total Amount]],"Correct","Check")</f>
        <v>Correct</v>
      </c>
    </row>
    <row r="684" spans="1:11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8">
        <v>500</v>
      </c>
      <c r="I684" s="8">
        <v>1000</v>
      </c>
      <c r="J684">
        <f t="shared" si="10"/>
        <v>1000</v>
      </c>
      <c r="K684" t="str">
        <f>IF(Table2[[#This Row],[Calculated Total]]=Table2[[#This Row],[Total Amount]],"Correct","Check")</f>
        <v>Correct</v>
      </c>
    </row>
    <row r="685" spans="1:11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8">
        <v>500</v>
      </c>
      <c r="I685" s="8">
        <v>1000</v>
      </c>
      <c r="J685">
        <f t="shared" si="10"/>
        <v>1000</v>
      </c>
      <c r="K685" t="str">
        <f>IF(Table2[[#This Row],[Calculated Total]]=Table2[[#This Row],[Total Amount]],"Correct","Check")</f>
        <v>Correct</v>
      </c>
    </row>
    <row r="686" spans="1:11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8">
        <v>25</v>
      </c>
      <c r="I686" s="8">
        <v>50</v>
      </c>
      <c r="J686">
        <f t="shared" si="10"/>
        <v>50</v>
      </c>
      <c r="K686" t="str">
        <f>IF(Table2[[#This Row],[Calculated Total]]=Table2[[#This Row],[Total Amount]],"Correct","Check")</f>
        <v>Correct</v>
      </c>
    </row>
    <row r="687" spans="1:11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8">
        <v>50</v>
      </c>
      <c r="I687" s="8">
        <v>200</v>
      </c>
      <c r="J687">
        <f t="shared" si="10"/>
        <v>200</v>
      </c>
      <c r="K687" t="str">
        <f>IF(Table2[[#This Row],[Calculated Total]]=Table2[[#This Row],[Total Amount]],"Correct","Check")</f>
        <v>Correct</v>
      </c>
    </row>
    <row r="688" spans="1:11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8">
        <v>300</v>
      </c>
      <c r="I688" s="8">
        <v>300</v>
      </c>
      <c r="J688">
        <f t="shared" si="10"/>
        <v>300</v>
      </c>
      <c r="K688" t="str">
        <f>IF(Table2[[#This Row],[Calculated Total]]=Table2[[#This Row],[Total Amount]],"Correct","Check")</f>
        <v>Correct</v>
      </c>
    </row>
    <row r="689" spans="1:11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8">
        <v>25</v>
      </c>
      <c r="I689" s="8">
        <v>100</v>
      </c>
      <c r="J689">
        <f t="shared" si="10"/>
        <v>100</v>
      </c>
      <c r="K689" t="str">
        <f>IF(Table2[[#This Row],[Calculated Total]]=Table2[[#This Row],[Total Amount]],"Correct","Check")</f>
        <v>Correct</v>
      </c>
    </row>
    <row r="690" spans="1:11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8">
        <v>50</v>
      </c>
      <c r="I690" s="8">
        <v>100</v>
      </c>
      <c r="J690">
        <f t="shared" si="10"/>
        <v>100</v>
      </c>
      <c r="K690" t="str">
        <f>IF(Table2[[#This Row],[Calculated Total]]=Table2[[#This Row],[Total Amount]],"Correct","Check")</f>
        <v>Correct</v>
      </c>
    </row>
    <row r="691" spans="1:11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8">
        <v>300</v>
      </c>
      <c r="I691" s="8">
        <v>900</v>
      </c>
      <c r="J691">
        <f t="shared" si="10"/>
        <v>900</v>
      </c>
      <c r="K691" t="str">
        <f>IF(Table2[[#This Row],[Calculated Total]]=Table2[[#This Row],[Total Amount]],"Correct","Check")</f>
        <v>Correct</v>
      </c>
    </row>
    <row r="692" spans="1:11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8">
        <v>30</v>
      </c>
      <c r="I692" s="8">
        <v>90</v>
      </c>
      <c r="J692">
        <f t="shared" si="10"/>
        <v>90</v>
      </c>
      <c r="K692" t="str">
        <f>IF(Table2[[#This Row],[Calculated Total]]=Table2[[#This Row],[Total Amount]],"Correct","Check")</f>
        <v>Correct</v>
      </c>
    </row>
    <row r="693" spans="1:11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8">
        <v>50</v>
      </c>
      <c r="I693" s="8">
        <v>100</v>
      </c>
      <c r="J693">
        <f t="shared" si="10"/>
        <v>100</v>
      </c>
      <c r="K693" t="str">
        <f>IF(Table2[[#This Row],[Calculated Total]]=Table2[[#This Row],[Total Amount]],"Correct","Check")</f>
        <v>Correct</v>
      </c>
    </row>
    <row r="694" spans="1:11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8">
        <v>500</v>
      </c>
      <c r="I694" s="8">
        <v>1500</v>
      </c>
      <c r="J694">
        <f t="shared" si="10"/>
        <v>1500</v>
      </c>
      <c r="K694" t="str">
        <f>IF(Table2[[#This Row],[Calculated Total]]=Table2[[#This Row],[Total Amount]],"Correct","Check")</f>
        <v>Correct</v>
      </c>
    </row>
    <row r="695" spans="1:11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8">
        <v>25</v>
      </c>
      <c r="I695" s="8">
        <v>50</v>
      </c>
      <c r="J695">
        <f t="shared" si="10"/>
        <v>50</v>
      </c>
      <c r="K695" t="str">
        <f>IF(Table2[[#This Row],[Calculated Total]]=Table2[[#This Row],[Total Amount]],"Correct","Check")</f>
        <v>Correct</v>
      </c>
    </row>
    <row r="696" spans="1:11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8">
        <v>50</v>
      </c>
      <c r="I696" s="8">
        <v>150</v>
      </c>
      <c r="J696">
        <f t="shared" si="10"/>
        <v>150</v>
      </c>
      <c r="K696" t="str">
        <f>IF(Table2[[#This Row],[Calculated Total]]=Table2[[#This Row],[Total Amount]],"Correct","Check")</f>
        <v>Correct</v>
      </c>
    </row>
    <row r="697" spans="1:11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8">
        <v>50</v>
      </c>
      <c r="I697" s="8">
        <v>200</v>
      </c>
      <c r="J697">
        <f t="shared" si="10"/>
        <v>200</v>
      </c>
      <c r="K697" t="str">
        <f>IF(Table2[[#This Row],[Calculated Total]]=Table2[[#This Row],[Total Amount]],"Correct","Check")</f>
        <v>Correct</v>
      </c>
    </row>
    <row r="698" spans="1:11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8">
        <v>500</v>
      </c>
      <c r="I698" s="8">
        <v>500</v>
      </c>
      <c r="J698">
        <f t="shared" si="10"/>
        <v>500</v>
      </c>
      <c r="K698" t="str">
        <f>IF(Table2[[#This Row],[Calculated Total]]=Table2[[#This Row],[Total Amount]],"Correct","Check")</f>
        <v>Correct</v>
      </c>
    </row>
    <row r="699" spans="1:11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8">
        <v>300</v>
      </c>
      <c r="I699" s="8">
        <v>300</v>
      </c>
      <c r="J699">
        <f t="shared" si="10"/>
        <v>300</v>
      </c>
      <c r="K699" t="str">
        <f>IF(Table2[[#This Row],[Calculated Total]]=Table2[[#This Row],[Total Amount]],"Correct","Check")</f>
        <v>Correct</v>
      </c>
    </row>
    <row r="700" spans="1:11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8">
        <v>30</v>
      </c>
      <c r="I700" s="8">
        <v>120</v>
      </c>
      <c r="J700">
        <f t="shared" si="10"/>
        <v>120</v>
      </c>
      <c r="K700" t="str">
        <f>IF(Table2[[#This Row],[Calculated Total]]=Table2[[#This Row],[Total Amount]],"Correct","Check")</f>
        <v>Correct</v>
      </c>
    </row>
    <row r="701" spans="1:11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8">
        <v>500</v>
      </c>
      <c r="I701" s="8">
        <v>2000</v>
      </c>
      <c r="J701">
        <f t="shared" si="10"/>
        <v>2000</v>
      </c>
      <c r="K701" t="str">
        <f>IF(Table2[[#This Row],[Calculated Total]]=Table2[[#This Row],[Total Amount]],"Correct","Check")</f>
        <v>Correct</v>
      </c>
    </row>
    <row r="702" spans="1:11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8">
        <v>30</v>
      </c>
      <c r="I702" s="8">
        <v>60</v>
      </c>
      <c r="J702">
        <f t="shared" si="10"/>
        <v>60</v>
      </c>
      <c r="K702" t="str">
        <f>IF(Table2[[#This Row],[Calculated Total]]=Table2[[#This Row],[Total Amount]],"Correct","Check")</f>
        <v>Correct</v>
      </c>
    </row>
    <row r="703" spans="1:11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8">
        <v>300</v>
      </c>
      <c r="I703" s="8">
        <v>600</v>
      </c>
      <c r="J703">
        <f t="shared" si="10"/>
        <v>600</v>
      </c>
      <c r="K703" t="str">
        <f>IF(Table2[[#This Row],[Calculated Total]]=Table2[[#This Row],[Total Amount]],"Correct","Check")</f>
        <v>Correct</v>
      </c>
    </row>
    <row r="704" spans="1:11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8">
        <v>50</v>
      </c>
      <c r="I704" s="8">
        <v>100</v>
      </c>
      <c r="J704">
        <f t="shared" si="10"/>
        <v>100</v>
      </c>
      <c r="K704" t="str">
        <f>IF(Table2[[#This Row],[Calculated Total]]=Table2[[#This Row],[Total Amount]],"Correct","Check")</f>
        <v>Correct</v>
      </c>
    </row>
    <row r="705" spans="1:11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8">
        <v>30</v>
      </c>
      <c r="I705" s="8">
        <v>90</v>
      </c>
      <c r="J705">
        <f t="shared" si="10"/>
        <v>90</v>
      </c>
      <c r="K705" t="str">
        <f>IF(Table2[[#This Row],[Calculated Total]]=Table2[[#This Row],[Total Amount]],"Correct","Check")</f>
        <v>Correct</v>
      </c>
    </row>
    <row r="706" spans="1:11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8">
        <v>25</v>
      </c>
      <c r="I706" s="8">
        <v>50</v>
      </c>
      <c r="J706">
        <f t="shared" ref="J706:J769" si="11">G:G*H:H</f>
        <v>50</v>
      </c>
      <c r="K706" t="str">
        <f>IF(Table2[[#This Row],[Calculated Total]]=Table2[[#This Row],[Total Amount]],"Correct","Check")</f>
        <v>Correct</v>
      </c>
    </row>
    <row r="707" spans="1:11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8">
        <v>25</v>
      </c>
      <c r="I707" s="8">
        <v>100</v>
      </c>
      <c r="J707">
        <f t="shared" si="11"/>
        <v>100</v>
      </c>
      <c r="K707" t="str">
        <f>IF(Table2[[#This Row],[Calculated Total]]=Table2[[#This Row],[Total Amount]],"Correct","Check")</f>
        <v>Correct</v>
      </c>
    </row>
    <row r="708" spans="1:11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8">
        <v>500</v>
      </c>
      <c r="I708" s="8">
        <v>500</v>
      </c>
      <c r="J708">
        <f t="shared" si="11"/>
        <v>500</v>
      </c>
      <c r="K708" t="str">
        <f>IF(Table2[[#This Row],[Calculated Total]]=Table2[[#This Row],[Total Amount]],"Correct","Check")</f>
        <v>Correct</v>
      </c>
    </row>
    <row r="709" spans="1:11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8">
        <v>300</v>
      </c>
      <c r="I709" s="8">
        <v>900</v>
      </c>
      <c r="J709">
        <f t="shared" si="11"/>
        <v>900</v>
      </c>
      <c r="K709" t="str">
        <f>IF(Table2[[#This Row],[Calculated Total]]=Table2[[#This Row],[Total Amount]],"Correct","Check")</f>
        <v>Correct</v>
      </c>
    </row>
    <row r="710" spans="1:11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8">
        <v>500</v>
      </c>
      <c r="I710" s="8">
        <v>1000</v>
      </c>
      <c r="J710">
        <f t="shared" si="11"/>
        <v>1000</v>
      </c>
      <c r="K710" t="str">
        <f>IF(Table2[[#This Row],[Calculated Total]]=Table2[[#This Row],[Total Amount]],"Correct","Check")</f>
        <v>Correct</v>
      </c>
    </row>
    <row r="711" spans="1:11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8">
        <v>500</v>
      </c>
      <c r="I711" s="8">
        <v>1500</v>
      </c>
      <c r="J711">
        <f t="shared" si="11"/>
        <v>1500</v>
      </c>
      <c r="K711" t="str">
        <f>IF(Table2[[#This Row],[Calculated Total]]=Table2[[#This Row],[Total Amount]],"Correct","Check")</f>
        <v>Correct</v>
      </c>
    </row>
    <row r="712" spans="1:11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8">
        <v>500</v>
      </c>
      <c r="I712" s="8">
        <v>1500</v>
      </c>
      <c r="J712">
        <f t="shared" si="11"/>
        <v>1500</v>
      </c>
      <c r="K712" t="str">
        <f>IF(Table2[[#This Row],[Calculated Total]]=Table2[[#This Row],[Total Amount]],"Correct","Check")</f>
        <v>Correct</v>
      </c>
    </row>
    <row r="713" spans="1:11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8">
        <v>25</v>
      </c>
      <c r="I713" s="8">
        <v>50</v>
      </c>
      <c r="J713">
        <f t="shared" si="11"/>
        <v>50</v>
      </c>
      <c r="K713" t="str">
        <f>IF(Table2[[#This Row],[Calculated Total]]=Table2[[#This Row],[Total Amount]],"Correct","Check")</f>
        <v>Correct</v>
      </c>
    </row>
    <row r="714" spans="1:11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8">
        <v>25</v>
      </c>
      <c r="I714" s="8">
        <v>75</v>
      </c>
      <c r="J714">
        <f t="shared" si="11"/>
        <v>75</v>
      </c>
      <c r="K714" t="str">
        <f>IF(Table2[[#This Row],[Calculated Total]]=Table2[[#This Row],[Total Amount]],"Correct","Check")</f>
        <v>Correct</v>
      </c>
    </row>
    <row r="715" spans="1:11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8">
        <v>500</v>
      </c>
      <c r="I715" s="8">
        <v>500</v>
      </c>
      <c r="J715">
        <f t="shared" si="11"/>
        <v>500</v>
      </c>
      <c r="K715" t="str">
        <f>IF(Table2[[#This Row],[Calculated Total]]=Table2[[#This Row],[Total Amount]],"Correct","Check")</f>
        <v>Correct</v>
      </c>
    </row>
    <row r="716" spans="1:11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8">
        <v>25</v>
      </c>
      <c r="I716" s="8">
        <v>100</v>
      </c>
      <c r="J716">
        <f t="shared" si="11"/>
        <v>100</v>
      </c>
      <c r="K716" t="str">
        <f>IF(Table2[[#This Row],[Calculated Total]]=Table2[[#This Row],[Total Amount]],"Correct","Check")</f>
        <v>Correct</v>
      </c>
    </row>
    <row r="717" spans="1:11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8">
        <v>300</v>
      </c>
      <c r="I717" s="8">
        <v>1200</v>
      </c>
      <c r="J717">
        <f t="shared" si="11"/>
        <v>1200</v>
      </c>
      <c r="K717" t="str">
        <f>IF(Table2[[#This Row],[Calculated Total]]=Table2[[#This Row],[Total Amount]],"Correct","Check")</f>
        <v>Correct</v>
      </c>
    </row>
    <row r="718" spans="1:11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8">
        <v>500</v>
      </c>
      <c r="I718" s="8">
        <v>500</v>
      </c>
      <c r="J718">
        <f t="shared" si="11"/>
        <v>500</v>
      </c>
      <c r="K718" t="str">
        <f>IF(Table2[[#This Row],[Calculated Total]]=Table2[[#This Row],[Total Amount]],"Correct","Check")</f>
        <v>Correct</v>
      </c>
    </row>
    <row r="719" spans="1:11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8">
        <v>25</v>
      </c>
      <c r="I719" s="8">
        <v>75</v>
      </c>
      <c r="J719">
        <f t="shared" si="11"/>
        <v>75</v>
      </c>
      <c r="K719" t="str">
        <f>IF(Table2[[#This Row],[Calculated Total]]=Table2[[#This Row],[Total Amount]],"Correct","Check")</f>
        <v>Correct</v>
      </c>
    </row>
    <row r="720" spans="1:11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8">
        <v>30</v>
      </c>
      <c r="I720" s="8">
        <v>60</v>
      </c>
      <c r="J720">
        <f t="shared" si="11"/>
        <v>60</v>
      </c>
      <c r="K720" t="str">
        <f>IF(Table2[[#This Row],[Calculated Total]]=Table2[[#This Row],[Total Amount]],"Correct","Check")</f>
        <v>Correct</v>
      </c>
    </row>
    <row r="721" spans="1:11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8">
        <v>500</v>
      </c>
      <c r="I721" s="8">
        <v>1500</v>
      </c>
      <c r="J721">
        <f t="shared" si="11"/>
        <v>1500</v>
      </c>
      <c r="K721" t="str">
        <f>IF(Table2[[#This Row],[Calculated Total]]=Table2[[#This Row],[Total Amount]],"Correct","Check")</f>
        <v>Correct</v>
      </c>
    </row>
    <row r="722" spans="1:11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8">
        <v>500</v>
      </c>
      <c r="I722" s="8">
        <v>500</v>
      </c>
      <c r="J722">
        <f t="shared" si="11"/>
        <v>500</v>
      </c>
      <c r="K722" t="str">
        <f>IF(Table2[[#This Row],[Calculated Total]]=Table2[[#This Row],[Total Amount]],"Correct","Check")</f>
        <v>Correct</v>
      </c>
    </row>
    <row r="723" spans="1:11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8">
        <v>300</v>
      </c>
      <c r="I723" s="8">
        <v>900</v>
      </c>
      <c r="J723">
        <f t="shared" si="11"/>
        <v>900</v>
      </c>
      <c r="K723" t="str">
        <f>IF(Table2[[#This Row],[Calculated Total]]=Table2[[#This Row],[Total Amount]],"Correct","Check")</f>
        <v>Correct</v>
      </c>
    </row>
    <row r="724" spans="1:11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8">
        <v>50</v>
      </c>
      <c r="I724" s="8">
        <v>200</v>
      </c>
      <c r="J724">
        <f t="shared" si="11"/>
        <v>200</v>
      </c>
      <c r="K724" t="str">
        <f>IF(Table2[[#This Row],[Calculated Total]]=Table2[[#This Row],[Total Amount]],"Correct","Check")</f>
        <v>Correct</v>
      </c>
    </row>
    <row r="725" spans="1:11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8">
        <v>50</v>
      </c>
      <c r="I725" s="8">
        <v>150</v>
      </c>
      <c r="J725">
        <f t="shared" si="11"/>
        <v>150</v>
      </c>
      <c r="K725" t="str">
        <f>IF(Table2[[#This Row],[Calculated Total]]=Table2[[#This Row],[Total Amount]],"Correct","Check")</f>
        <v>Correct</v>
      </c>
    </row>
    <row r="726" spans="1:11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8">
        <v>300</v>
      </c>
      <c r="I726" s="8">
        <v>300</v>
      </c>
      <c r="J726">
        <f t="shared" si="11"/>
        <v>300</v>
      </c>
      <c r="K726" t="str">
        <f>IF(Table2[[#This Row],[Calculated Total]]=Table2[[#This Row],[Total Amount]],"Correct","Check")</f>
        <v>Correct</v>
      </c>
    </row>
    <row r="727" spans="1:11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8">
        <v>300</v>
      </c>
      <c r="I727" s="8">
        <v>1200</v>
      </c>
      <c r="J727">
        <f t="shared" si="11"/>
        <v>1200</v>
      </c>
      <c r="K727" t="str">
        <f>IF(Table2[[#This Row],[Calculated Total]]=Table2[[#This Row],[Total Amount]],"Correct","Check")</f>
        <v>Correct</v>
      </c>
    </row>
    <row r="728" spans="1:11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8">
        <v>300</v>
      </c>
      <c r="I728" s="8">
        <v>900</v>
      </c>
      <c r="J728">
        <f t="shared" si="11"/>
        <v>900</v>
      </c>
      <c r="K728" t="str">
        <f>IF(Table2[[#This Row],[Calculated Total]]=Table2[[#This Row],[Total Amount]],"Correct","Check")</f>
        <v>Correct</v>
      </c>
    </row>
    <row r="729" spans="1:11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8">
        <v>50</v>
      </c>
      <c r="I729" s="8">
        <v>150</v>
      </c>
      <c r="J729">
        <f t="shared" si="11"/>
        <v>150</v>
      </c>
      <c r="K729" t="str">
        <f>IF(Table2[[#This Row],[Calculated Total]]=Table2[[#This Row],[Total Amount]],"Correct","Check")</f>
        <v>Correct</v>
      </c>
    </row>
    <row r="730" spans="1:11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8">
        <v>300</v>
      </c>
      <c r="I730" s="8">
        <v>1200</v>
      </c>
      <c r="J730">
        <f t="shared" si="11"/>
        <v>1200</v>
      </c>
      <c r="K730" t="str">
        <f>IF(Table2[[#This Row],[Calculated Total]]=Table2[[#This Row],[Total Amount]],"Correct","Check")</f>
        <v>Correct</v>
      </c>
    </row>
    <row r="731" spans="1:11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8">
        <v>25</v>
      </c>
      <c r="I731" s="8">
        <v>50</v>
      </c>
      <c r="J731">
        <f t="shared" si="11"/>
        <v>50</v>
      </c>
      <c r="K731" t="str">
        <f>IF(Table2[[#This Row],[Calculated Total]]=Table2[[#This Row],[Total Amount]],"Correct","Check")</f>
        <v>Correct</v>
      </c>
    </row>
    <row r="732" spans="1:11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8">
        <v>500</v>
      </c>
      <c r="I732" s="8">
        <v>2000</v>
      </c>
      <c r="J732">
        <f t="shared" si="11"/>
        <v>2000</v>
      </c>
      <c r="K732" t="str">
        <f>IF(Table2[[#This Row],[Calculated Total]]=Table2[[#This Row],[Total Amount]],"Correct","Check")</f>
        <v>Correct</v>
      </c>
    </row>
    <row r="733" spans="1:11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8">
        <v>500</v>
      </c>
      <c r="I733" s="8">
        <v>1000</v>
      </c>
      <c r="J733">
        <f t="shared" si="11"/>
        <v>1000</v>
      </c>
      <c r="K733" t="str">
        <f>IF(Table2[[#This Row],[Calculated Total]]=Table2[[#This Row],[Total Amount]],"Correct","Check")</f>
        <v>Correct</v>
      </c>
    </row>
    <row r="734" spans="1:11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8">
        <v>30</v>
      </c>
      <c r="I734" s="8">
        <v>30</v>
      </c>
      <c r="J734">
        <f t="shared" si="11"/>
        <v>30</v>
      </c>
      <c r="K734" t="str">
        <f>IF(Table2[[#This Row],[Calculated Total]]=Table2[[#This Row],[Total Amount]],"Correct","Check")</f>
        <v>Correct</v>
      </c>
    </row>
    <row r="735" spans="1:11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8">
        <v>30</v>
      </c>
      <c r="I735" s="8">
        <v>30</v>
      </c>
      <c r="J735">
        <f t="shared" si="11"/>
        <v>30</v>
      </c>
      <c r="K735" t="str">
        <f>IF(Table2[[#This Row],[Calculated Total]]=Table2[[#This Row],[Total Amount]],"Correct","Check")</f>
        <v>Correct</v>
      </c>
    </row>
    <row r="736" spans="1:11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8">
        <v>500</v>
      </c>
      <c r="I736" s="8">
        <v>2000</v>
      </c>
      <c r="J736">
        <f t="shared" si="11"/>
        <v>2000</v>
      </c>
      <c r="K736" t="str">
        <f>IF(Table2[[#This Row],[Calculated Total]]=Table2[[#This Row],[Total Amount]],"Correct","Check")</f>
        <v>Correct</v>
      </c>
    </row>
    <row r="737" spans="1:11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8">
        <v>25</v>
      </c>
      <c r="I737" s="8">
        <v>100</v>
      </c>
      <c r="J737">
        <f t="shared" si="11"/>
        <v>100</v>
      </c>
      <c r="K737" t="str">
        <f>IF(Table2[[#This Row],[Calculated Total]]=Table2[[#This Row],[Total Amount]],"Correct","Check")</f>
        <v>Correct</v>
      </c>
    </row>
    <row r="738" spans="1:11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8">
        <v>50</v>
      </c>
      <c r="I738" s="8">
        <v>50</v>
      </c>
      <c r="J738">
        <f t="shared" si="11"/>
        <v>50</v>
      </c>
      <c r="K738" t="str">
        <f>IF(Table2[[#This Row],[Calculated Total]]=Table2[[#This Row],[Total Amount]],"Correct","Check")</f>
        <v>Correct</v>
      </c>
    </row>
    <row r="739" spans="1:11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8">
        <v>50</v>
      </c>
      <c r="I739" s="8">
        <v>100</v>
      </c>
      <c r="J739">
        <f t="shared" si="11"/>
        <v>100</v>
      </c>
      <c r="K739" t="str">
        <f>IF(Table2[[#This Row],[Calculated Total]]=Table2[[#This Row],[Total Amount]],"Correct","Check")</f>
        <v>Correct</v>
      </c>
    </row>
    <row r="740" spans="1:11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8">
        <v>25</v>
      </c>
      <c r="I740" s="8">
        <v>25</v>
      </c>
      <c r="J740">
        <f t="shared" si="11"/>
        <v>25</v>
      </c>
      <c r="K740" t="str">
        <f>IF(Table2[[#This Row],[Calculated Total]]=Table2[[#This Row],[Total Amount]],"Correct","Check")</f>
        <v>Correct</v>
      </c>
    </row>
    <row r="741" spans="1:11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8">
        <v>50</v>
      </c>
      <c r="I741" s="8">
        <v>200</v>
      </c>
      <c r="J741">
        <f t="shared" si="11"/>
        <v>200</v>
      </c>
      <c r="K741" t="str">
        <f>IF(Table2[[#This Row],[Calculated Total]]=Table2[[#This Row],[Total Amount]],"Correct","Check")</f>
        <v>Correct</v>
      </c>
    </row>
    <row r="742" spans="1:11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8">
        <v>300</v>
      </c>
      <c r="I742" s="8">
        <v>300</v>
      </c>
      <c r="J742">
        <f t="shared" si="11"/>
        <v>300</v>
      </c>
      <c r="K742" t="str">
        <f>IF(Table2[[#This Row],[Calculated Total]]=Table2[[#This Row],[Total Amount]],"Correct","Check")</f>
        <v>Correct</v>
      </c>
    </row>
    <row r="743" spans="1:11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8">
        <v>500</v>
      </c>
      <c r="I743" s="8">
        <v>2000</v>
      </c>
      <c r="J743">
        <f t="shared" si="11"/>
        <v>2000</v>
      </c>
      <c r="K743" t="str">
        <f>IF(Table2[[#This Row],[Calculated Total]]=Table2[[#This Row],[Total Amount]],"Correct","Check")</f>
        <v>Correct</v>
      </c>
    </row>
    <row r="744" spans="1:11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8">
        <v>500</v>
      </c>
      <c r="I744" s="8">
        <v>2000</v>
      </c>
      <c r="J744">
        <f t="shared" si="11"/>
        <v>2000</v>
      </c>
      <c r="K744" t="str">
        <f>IF(Table2[[#This Row],[Calculated Total]]=Table2[[#This Row],[Total Amount]],"Correct","Check")</f>
        <v>Correct</v>
      </c>
    </row>
    <row r="745" spans="1:11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8">
        <v>25</v>
      </c>
      <c r="I745" s="8">
        <v>25</v>
      </c>
      <c r="J745">
        <f t="shared" si="11"/>
        <v>25</v>
      </c>
      <c r="K745" t="str">
        <f>IF(Table2[[#This Row],[Calculated Total]]=Table2[[#This Row],[Total Amount]],"Correct","Check")</f>
        <v>Correct</v>
      </c>
    </row>
    <row r="746" spans="1:11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8">
        <v>50</v>
      </c>
      <c r="I746" s="8">
        <v>100</v>
      </c>
      <c r="J746">
        <f t="shared" si="11"/>
        <v>100</v>
      </c>
      <c r="K746" t="str">
        <f>IF(Table2[[#This Row],[Calculated Total]]=Table2[[#This Row],[Total Amount]],"Correct","Check")</f>
        <v>Correct</v>
      </c>
    </row>
    <row r="747" spans="1:11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8">
        <v>30</v>
      </c>
      <c r="I747" s="8">
        <v>90</v>
      </c>
      <c r="J747">
        <f t="shared" si="11"/>
        <v>90</v>
      </c>
      <c r="K747" t="str">
        <f>IF(Table2[[#This Row],[Calculated Total]]=Table2[[#This Row],[Total Amount]],"Correct","Check")</f>
        <v>Correct</v>
      </c>
    </row>
    <row r="748" spans="1:11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8">
        <v>30</v>
      </c>
      <c r="I748" s="8">
        <v>30</v>
      </c>
      <c r="J748">
        <f t="shared" si="11"/>
        <v>30</v>
      </c>
      <c r="K748" t="str">
        <f>IF(Table2[[#This Row],[Calculated Total]]=Table2[[#This Row],[Total Amount]],"Correct","Check")</f>
        <v>Correct</v>
      </c>
    </row>
    <row r="749" spans="1:11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8">
        <v>50</v>
      </c>
      <c r="I749" s="8">
        <v>150</v>
      </c>
      <c r="J749">
        <f t="shared" si="11"/>
        <v>150</v>
      </c>
      <c r="K749" t="str">
        <f>IF(Table2[[#This Row],[Calculated Total]]=Table2[[#This Row],[Total Amount]],"Correct","Check")</f>
        <v>Correct</v>
      </c>
    </row>
    <row r="750" spans="1:11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8">
        <v>30</v>
      </c>
      <c r="I750" s="8">
        <v>30</v>
      </c>
      <c r="J750">
        <f t="shared" si="11"/>
        <v>30</v>
      </c>
      <c r="K750" t="str">
        <f>IF(Table2[[#This Row],[Calculated Total]]=Table2[[#This Row],[Total Amount]],"Correct","Check")</f>
        <v>Correct</v>
      </c>
    </row>
    <row r="751" spans="1:11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8">
        <v>25</v>
      </c>
      <c r="I751" s="8">
        <v>75</v>
      </c>
      <c r="J751">
        <f t="shared" si="11"/>
        <v>75</v>
      </c>
      <c r="K751" t="str">
        <f>IF(Table2[[#This Row],[Calculated Total]]=Table2[[#This Row],[Total Amount]],"Correct","Check")</f>
        <v>Correct</v>
      </c>
    </row>
    <row r="752" spans="1:11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8">
        <v>25</v>
      </c>
      <c r="I752" s="8">
        <v>50</v>
      </c>
      <c r="J752">
        <f t="shared" si="11"/>
        <v>50</v>
      </c>
      <c r="K752" t="str">
        <f>IF(Table2[[#This Row],[Calculated Total]]=Table2[[#This Row],[Total Amount]],"Correct","Check")</f>
        <v>Correct</v>
      </c>
    </row>
    <row r="753" spans="1:11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8">
        <v>50</v>
      </c>
      <c r="I753" s="8">
        <v>100</v>
      </c>
      <c r="J753">
        <f t="shared" si="11"/>
        <v>100</v>
      </c>
      <c r="K753" t="str">
        <f>IF(Table2[[#This Row],[Calculated Total]]=Table2[[#This Row],[Total Amount]],"Correct","Check")</f>
        <v>Correct</v>
      </c>
    </row>
    <row r="754" spans="1:11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8">
        <v>30</v>
      </c>
      <c r="I754" s="8">
        <v>30</v>
      </c>
      <c r="J754">
        <f t="shared" si="11"/>
        <v>30</v>
      </c>
      <c r="K754" t="str">
        <f>IF(Table2[[#This Row],[Calculated Total]]=Table2[[#This Row],[Total Amount]],"Correct","Check")</f>
        <v>Correct</v>
      </c>
    </row>
    <row r="755" spans="1:11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8">
        <v>25</v>
      </c>
      <c r="I755" s="8">
        <v>100</v>
      </c>
      <c r="J755">
        <f t="shared" si="11"/>
        <v>100</v>
      </c>
      <c r="K755" t="str">
        <f>IF(Table2[[#This Row],[Calculated Total]]=Table2[[#This Row],[Total Amount]],"Correct","Check")</f>
        <v>Correct</v>
      </c>
    </row>
    <row r="756" spans="1:11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8">
        <v>25</v>
      </c>
      <c r="I756" s="8">
        <v>75</v>
      </c>
      <c r="J756">
        <f t="shared" si="11"/>
        <v>75</v>
      </c>
      <c r="K756" t="str">
        <f>IF(Table2[[#This Row],[Calculated Total]]=Table2[[#This Row],[Total Amount]],"Correct","Check")</f>
        <v>Correct</v>
      </c>
    </row>
    <row r="757" spans="1:11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8">
        <v>300</v>
      </c>
      <c r="I757" s="8">
        <v>1200</v>
      </c>
      <c r="J757">
        <f t="shared" si="11"/>
        <v>1200</v>
      </c>
      <c r="K757" t="str">
        <f>IF(Table2[[#This Row],[Calculated Total]]=Table2[[#This Row],[Total Amount]],"Correct","Check")</f>
        <v>Correct</v>
      </c>
    </row>
    <row r="758" spans="1:11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8">
        <v>300</v>
      </c>
      <c r="I758" s="8">
        <v>1200</v>
      </c>
      <c r="J758">
        <f t="shared" si="11"/>
        <v>1200</v>
      </c>
      <c r="K758" t="str">
        <f>IF(Table2[[#This Row],[Calculated Total]]=Table2[[#This Row],[Total Amount]],"Correct","Check")</f>
        <v>Correct</v>
      </c>
    </row>
    <row r="759" spans="1:11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8">
        <v>25</v>
      </c>
      <c r="I759" s="8">
        <v>100</v>
      </c>
      <c r="J759">
        <f t="shared" si="11"/>
        <v>100</v>
      </c>
      <c r="K759" t="str">
        <f>IF(Table2[[#This Row],[Calculated Total]]=Table2[[#This Row],[Total Amount]],"Correct","Check")</f>
        <v>Correct</v>
      </c>
    </row>
    <row r="760" spans="1:11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8">
        <v>50</v>
      </c>
      <c r="I760" s="8">
        <v>100</v>
      </c>
      <c r="J760">
        <f t="shared" si="11"/>
        <v>100</v>
      </c>
      <c r="K760" t="str">
        <f>IF(Table2[[#This Row],[Calculated Total]]=Table2[[#This Row],[Total Amount]],"Correct","Check")</f>
        <v>Correct</v>
      </c>
    </row>
    <row r="761" spans="1:11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8">
        <v>500</v>
      </c>
      <c r="I761" s="8">
        <v>500</v>
      </c>
      <c r="J761">
        <f t="shared" si="11"/>
        <v>500</v>
      </c>
      <c r="K761" t="str">
        <f>IF(Table2[[#This Row],[Calculated Total]]=Table2[[#This Row],[Total Amount]],"Correct","Check")</f>
        <v>Correct</v>
      </c>
    </row>
    <row r="762" spans="1:11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8">
        <v>500</v>
      </c>
      <c r="I762" s="8">
        <v>500</v>
      </c>
      <c r="J762">
        <f t="shared" si="11"/>
        <v>500</v>
      </c>
      <c r="K762" t="str">
        <f>IF(Table2[[#This Row],[Calculated Total]]=Table2[[#This Row],[Total Amount]],"Correct","Check")</f>
        <v>Correct</v>
      </c>
    </row>
    <row r="763" spans="1:11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8">
        <v>25</v>
      </c>
      <c r="I763" s="8">
        <v>50</v>
      </c>
      <c r="J763">
        <f t="shared" si="11"/>
        <v>50</v>
      </c>
      <c r="K763" t="str">
        <f>IF(Table2[[#This Row],[Calculated Total]]=Table2[[#This Row],[Total Amount]],"Correct","Check")</f>
        <v>Correct</v>
      </c>
    </row>
    <row r="764" spans="1:11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8">
        <v>25</v>
      </c>
      <c r="I764" s="8">
        <v>50</v>
      </c>
      <c r="J764">
        <f t="shared" si="11"/>
        <v>50</v>
      </c>
      <c r="K764" t="str">
        <f>IF(Table2[[#This Row],[Calculated Total]]=Table2[[#This Row],[Total Amount]],"Correct","Check")</f>
        <v>Correct</v>
      </c>
    </row>
    <row r="765" spans="1:11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8">
        <v>25</v>
      </c>
      <c r="I765" s="8">
        <v>25</v>
      </c>
      <c r="J765">
        <f t="shared" si="11"/>
        <v>25</v>
      </c>
      <c r="K765" t="str">
        <f>IF(Table2[[#This Row],[Calculated Total]]=Table2[[#This Row],[Total Amount]],"Correct","Check")</f>
        <v>Correct</v>
      </c>
    </row>
    <row r="766" spans="1:11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8">
        <v>50</v>
      </c>
      <c r="I766" s="8">
        <v>200</v>
      </c>
      <c r="J766">
        <f t="shared" si="11"/>
        <v>200</v>
      </c>
      <c r="K766" t="str">
        <f>IF(Table2[[#This Row],[Calculated Total]]=Table2[[#This Row],[Total Amount]],"Correct","Check")</f>
        <v>Correct</v>
      </c>
    </row>
    <row r="767" spans="1:11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8">
        <v>300</v>
      </c>
      <c r="I767" s="8">
        <v>900</v>
      </c>
      <c r="J767">
        <f t="shared" si="11"/>
        <v>900</v>
      </c>
      <c r="K767" t="str">
        <f>IF(Table2[[#This Row],[Calculated Total]]=Table2[[#This Row],[Total Amount]],"Correct","Check")</f>
        <v>Correct</v>
      </c>
    </row>
    <row r="768" spans="1:11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8">
        <v>25</v>
      </c>
      <c r="I768" s="8">
        <v>75</v>
      </c>
      <c r="J768">
        <f t="shared" si="11"/>
        <v>75</v>
      </c>
      <c r="K768" t="str">
        <f>IF(Table2[[#This Row],[Calculated Total]]=Table2[[#This Row],[Total Amount]],"Correct","Check")</f>
        <v>Correct</v>
      </c>
    </row>
    <row r="769" spans="1:11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8">
        <v>25</v>
      </c>
      <c r="I769" s="8">
        <v>75</v>
      </c>
      <c r="J769">
        <f t="shared" si="11"/>
        <v>75</v>
      </c>
      <c r="K769" t="str">
        <f>IF(Table2[[#This Row],[Calculated Total]]=Table2[[#This Row],[Total Amount]],"Correct","Check")</f>
        <v>Correct</v>
      </c>
    </row>
    <row r="770" spans="1:11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8">
        <v>30</v>
      </c>
      <c r="I770" s="8">
        <v>120</v>
      </c>
      <c r="J770">
        <f t="shared" ref="J770:J833" si="12">G:G*H:H</f>
        <v>120</v>
      </c>
      <c r="K770" t="str">
        <f>IF(Table2[[#This Row],[Calculated Total]]=Table2[[#This Row],[Total Amount]],"Correct","Check")</f>
        <v>Correct</v>
      </c>
    </row>
    <row r="771" spans="1:11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8">
        <v>50</v>
      </c>
      <c r="I771" s="8">
        <v>50</v>
      </c>
      <c r="J771">
        <f t="shared" si="12"/>
        <v>50</v>
      </c>
      <c r="K771" t="str">
        <f>IF(Table2[[#This Row],[Calculated Total]]=Table2[[#This Row],[Total Amount]],"Correct","Check")</f>
        <v>Correct</v>
      </c>
    </row>
    <row r="772" spans="1:11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8">
        <v>25</v>
      </c>
      <c r="I772" s="8">
        <v>50</v>
      </c>
      <c r="J772">
        <f t="shared" si="12"/>
        <v>50</v>
      </c>
      <c r="K772" t="str">
        <f>IF(Table2[[#This Row],[Calculated Total]]=Table2[[#This Row],[Total Amount]],"Correct","Check")</f>
        <v>Correct</v>
      </c>
    </row>
    <row r="773" spans="1:11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8">
        <v>30</v>
      </c>
      <c r="I773" s="8">
        <v>30</v>
      </c>
      <c r="J773">
        <f t="shared" si="12"/>
        <v>30</v>
      </c>
      <c r="K773" t="str">
        <f>IF(Table2[[#This Row],[Calculated Total]]=Table2[[#This Row],[Total Amount]],"Correct","Check")</f>
        <v>Correct</v>
      </c>
    </row>
    <row r="774" spans="1:11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8">
        <v>500</v>
      </c>
      <c r="I774" s="8">
        <v>2000</v>
      </c>
      <c r="J774">
        <f t="shared" si="12"/>
        <v>2000</v>
      </c>
      <c r="K774" t="str">
        <f>IF(Table2[[#This Row],[Calculated Total]]=Table2[[#This Row],[Total Amount]],"Correct","Check")</f>
        <v>Correct</v>
      </c>
    </row>
    <row r="775" spans="1:11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8">
        <v>25</v>
      </c>
      <c r="I775" s="8">
        <v>50</v>
      </c>
      <c r="J775">
        <f t="shared" si="12"/>
        <v>50</v>
      </c>
      <c r="K775" t="str">
        <f>IF(Table2[[#This Row],[Calculated Total]]=Table2[[#This Row],[Total Amount]],"Correct","Check")</f>
        <v>Correct</v>
      </c>
    </row>
    <row r="776" spans="1:11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8">
        <v>25</v>
      </c>
      <c r="I776" s="8">
        <v>100</v>
      </c>
      <c r="J776">
        <f t="shared" si="12"/>
        <v>100</v>
      </c>
      <c r="K776" t="str">
        <f>IF(Table2[[#This Row],[Calculated Total]]=Table2[[#This Row],[Total Amount]],"Correct","Check")</f>
        <v>Correct</v>
      </c>
    </row>
    <row r="777" spans="1:11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8">
        <v>30</v>
      </c>
      <c r="I777" s="8">
        <v>90</v>
      </c>
      <c r="J777">
        <f t="shared" si="12"/>
        <v>90</v>
      </c>
      <c r="K777" t="str">
        <f>IF(Table2[[#This Row],[Calculated Total]]=Table2[[#This Row],[Total Amount]],"Correct","Check")</f>
        <v>Correct</v>
      </c>
    </row>
    <row r="778" spans="1:11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8">
        <v>50</v>
      </c>
      <c r="I778" s="8">
        <v>150</v>
      </c>
      <c r="J778">
        <f t="shared" si="12"/>
        <v>150</v>
      </c>
      <c r="K778" t="str">
        <f>IF(Table2[[#This Row],[Calculated Total]]=Table2[[#This Row],[Total Amount]],"Correct","Check")</f>
        <v>Correct</v>
      </c>
    </row>
    <row r="779" spans="1:11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8">
        <v>25</v>
      </c>
      <c r="I779" s="8">
        <v>100</v>
      </c>
      <c r="J779">
        <f t="shared" si="12"/>
        <v>100</v>
      </c>
      <c r="K779" t="str">
        <f>IF(Table2[[#This Row],[Calculated Total]]=Table2[[#This Row],[Total Amount]],"Correct","Check")</f>
        <v>Correct</v>
      </c>
    </row>
    <row r="780" spans="1:11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8">
        <v>500</v>
      </c>
      <c r="I780" s="8">
        <v>1000</v>
      </c>
      <c r="J780">
        <f t="shared" si="12"/>
        <v>1000</v>
      </c>
      <c r="K780" t="str">
        <f>IF(Table2[[#This Row],[Calculated Total]]=Table2[[#This Row],[Total Amount]],"Correct","Check")</f>
        <v>Correct</v>
      </c>
    </row>
    <row r="781" spans="1:11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8">
        <v>25</v>
      </c>
      <c r="I781" s="8">
        <v>50</v>
      </c>
      <c r="J781">
        <f t="shared" si="12"/>
        <v>50</v>
      </c>
      <c r="K781" t="str">
        <f>IF(Table2[[#This Row],[Calculated Total]]=Table2[[#This Row],[Total Amount]],"Correct","Check")</f>
        <v>Correct</v>
      </c>
    </row>
    <row r="782" spans="1:11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8">
        <v>500</v>
      </c>
      <c r="I782" s="8">
        <v>500</v>
      </c>
      <c r="J782">
        <f t="shared" si="12"/>
        <v>500</v>
      </c>
      <c r="K782" t="str">
        <f>IF(Table2[[#This Row],[Calculated Total]]=Table2[[#This Row],[Total Amount]],"Correct","Check")</f>
        <v>Correct</v>
      </c>
    </row>
    <row r="783" spans="1:11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8">
        <v>300</v>
      </c>
      <c r="I783" s="8">
        <v>900</v>
      </c>
      <c r="J783">
        <f t="shared" si="12"/>
        <v>900</v>
      </c>
      <c r="K783" t="str">
        <f>IF(Table2[[#This Row],[Calculated Total]]=Table2[[#This Row],[Total Amount]],"Correct","Check")</f>
        <v>Correct</v>
      </c>
    </row>
    <row r="784" spans="1:11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8">
        <v>300</v>
      </c>
      <c r="I784" s="8">
        <v>300</v>
      </c>
      <c r="J784">
        <f t="shared" si="12"/>
        <v>300</v>
      </c>
      <c r="K784" t="str">
        <f>IF(Table2[[#This Row],[Calculated Total]]=Table2[[#This Row],[Total Amount]],"Correct","Check")</f>
        <v>Correct</v>
      </c>
    </row>
    <row r="785" spans="1:11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8">
        <v>500</v>
      </c>
      <c r="I785" s="8">
        <v>500</v>
      </c>
      <c r="J785">
        <f t="shared" si="12"/>
        <v>500</v>
      </c>
      <c r="K785" t="str">
        <f>IF(Table2[[#This Row],[Calculated Total]]=Table2[[#This Row],[Total Amount]],"Correct","Check")</f>
        <v>Correct</v>
      </c>
    </row>
    <row r="786" spans="1:11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8">
        <v>50</v>
      </c>
      <c r="I786" s="8">
        <v>200</v>
      </c>
      <c r="J786">
        <f t="shared" si="12"/>
        <v>200</v>
      </c>
      <c r="K786" t="str">
        <f>IF(Table2[[#This Row],[Calculated Total]]=Table2[[#This Row],[Total Amount]],"Correct","Check")</f>
        <v>Correct</v>
      </c>
    </row>
    <row r="787" spans="1:11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8">
        <v>25</v>
      </c>
      <c r="I787" s="8">
        <v>100</v>
      </c>
      <c r="J787">
        <f t="shared" si="12"/>
        <v>100</v>
      </c>
      <c r="K787" t="str">
        <f>IF(Table2[[#This Row],[Calculated Total]]=Table2[[#This Row],[Total Amount]],"Correct","Check")</f>
        <v>Correct</v>
      </c>
    </row>
    <row r="788" spans="1:11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8">
        <v>25</v>
      </c>
      <c r="I788" s="8">
        <v>25</v>
      </c>
      <c r="J788">
        <f t="shared" si="12"/>
        <v>25</v>
      </c>
      <c r="K788" t="str">
        <f>IF(Table2[[#This Row],[Calculated Total]]=Table2[[#This Row],[Total Amount]],"Correct","Check")</f>
        <v>Correct</v>
      </c>
    </row>
    <row r="789" spans="1:11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8">
        <v>300</v>
      </c>
      <c r="I789" s="8">
        <v>900</v>
      </c>
      <c r="J789">
        <f t="shared" si="12"/>
        <v>900</v>
      </c>
      <c r="K789" t="str">
        <f>IF(Table2[[#This Row],[Calculated Total]]=Table2[[#This Row],[Total Amount]],"Correct","Check")</f>
        <v>Correct</v>
      </c>
    </row>
    <row r="790" spans="1:11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8">
        <v>500</v>
      </c>
      <c r="I790" s="8">
        <v>2000</v>
      </c>
      <c r="J790">
        <f t="shared" si="12"/>
        <v>2000</v>
      </c>
      <c r="K790" t="str">
        <f>IF(Table2[[#This Row],[Calculated Total]]=Table2[[#This Row],[Total Amount]],"Correct","Check")</f>
        <v>Correct</v>
      </c>
    </row>
    <row r="791" spans="1:11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8">
        <v>25</v>
      </c>
      <c r="I791" s="8">
        <v>25</v>
      </c>
      <c r="J791">
        <f t="shared" si="12"/>
        <v>25</v>
      </c>
      <c r="K791" t="str">
        <f>IF(Table2[[#This Row],[Calculated Total]]=Table2[[#This Row],[Total Amount]],"Correct","Check")</f>
        <v>Correct</v>
      </c>
    </row>
    <row r="792" spans="1:11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8">
        <v>25</v>
      </c>
      <c r="I792" s="8">
        <v>25</v>
      </c>
      <c r="J792">
        <f t="shared" si="12"/>
        <v>25</v>
      </c>
      <c r="K792" t="str">
        <f>IF(Table2[[#This Row],[Calculated Total]]=Table2[[#This Row],[Total Amount]],"Correct","Check")</f>
        <v>Correct</v>
      </c>
    </row>
    <row r="793" spans="1:11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8">
        <v>50</v>
      </c>
      <c r="I793" s="8">
        <v>50</v>
      </c>
      <c r="J793">
        <f t="shared" si="12"/>
        <v>50</v>
      </c>
      <c r="K793" t="str">
        <f>IF(Table2[[#This Row],[Calculated Total]]=Table2[[#This Row],[Total Amount]],"Correct","Check")</f>
        <v>Correct</v>
      </c>
    </row>
    <row r="794" spans="1:11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8">
        <v>30</v>
      </c>
      <c r="I794" s="8">
        <v>30</v>
      </c>
      <c r="J794">
        <f t="shared" si="12"/>
        <v>30</v>
      </c>
      <c r="K794" t="str">
        <f>IF(Table2[[#This Row],[Calculated Total]]=Table2[[#This Row],[Total Amount]],"Correct","Check")</f>
        <v>Correct</v>
      </c>
    </row>
    <row r="795" spans="1:11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8">
        <v>300</v>
      </c>
      <c r="I795" s="8">
        <v>300</v>
      </c>
      <c r="J795">
        <f t="shared" si="12"/>
        <v>300</v>
      </c>
      <c r="K795" t="str">
        <f>IF(Table2[[#This Row],[Calculated Total]]=Table2[[#This Row],[Total Amount]],"Correct","Check")</f>
        <v>Correct</v>
      </c>
    </row>
    <row r="796" spans="1:11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8">
        <v>300</v>
      </c>
      <c r="I796" s="8">
        <v>300</v>
      </c>
      <c r="J796">
        <f t="shared" si="12"/>
        <v>300</v>
      </c>
      <c r="K796" t="str">
        <f>IF(Table2[[#This Row],[Calculated Total]]=Table2[[#This Row],[Total Amount]],"Correct","Check")</f>
        <v>Correct</v>
      </c>
    </row>
    <row r="797" spans="1:11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8">
        <v>30</v>
      </c>
      <c r="I797" s="8">
        <v>120</v>
      </c>
      <c r="J797">
        <f t="shared" si="12"/>
        <v>120</v>
      </c>
      <c r="K797" t="str">
        <f>IF(Table2[[#This Row],[Calculated Total]]=Table2[[#This Row],[Total Amount]],"Correct","Check")</f>
        <v>Correct</v>
      </c>
    </row>
    <row r="798" spans="1:11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8">
        <v>25</v>
      </c>
      <c r="I798" s="8">
        <v>75</v>
      </c>
      <c r="J798">
        <f t="shared" si="12"/>
        <v>75</v>
      </c>
      <c r="K798" t="str">
        <f>IF(Table2[[#This Row],[Calculated Total]]=Table2[[#This Row],[Total Amount]],"Correct","Check")</f>
        <v>Correct</v>
      </c>
    </row>
    <row r="799" spans="1:11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8">
        <v>50</v>
      </c>
      <c r="I799" s="8">
        <v>50</v>
      </c>
      <c r="J799">
        <f t="shared" si="12"/>
        <v>50</v>
      </c>
      <c r="K799" t="str">
        <f>IF(Table2[[#This Row],[Calculated Total]]=Table2[[#This Row],[Total Amount]],"Correct","Check")</f>
        <v>Correct</v>
      </c>
    </row>
    <row r="800" spans="1:11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8">
        <v>50</v>
      </c>
      <c r="I800" s="8">
        <v>100</v>
      </c>
      <c r="J800">
        <f t="shared" si="12"/>
        <v>100</v>
      </c>
      <c r="K800" t="str">
        <f>IF(Table2[[#This Row],[Calculated Total]]=Table2[[#This Row],[Total Amount]],"Correct","Check")</f>
        <v>Correct</v>
      </c>
    </row>
    <row r="801" spans="1:11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8">
        <v>300</v>
      </c>
      <c r="I801" s="8">
        <v>1200</v>
      </c>
      <c r="J801">
        <f t="shared" si="12"/>
        <v>1200</v>
      </c>
      <c r="K801" t="str">
        <f>IF(Table2[[#This Row],[Calculated Total]]=Table2[[#This Row],[Total Amount]],"Correct","Check")</f>
        <v>Correct</v>
      </c>
    </row>
    <row r="802" spans="1:11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8">
        <v>50</v>
      </c>
      <c r="I802" s="8">
        <v>200</v>
      </c>
      <c r="J802">
        <f t="shared" si="12"/>
        <v>200</v>
      </c>
      <c r="K802" t="str">
        <f>IF(Table2[[#This Row],[Calculated Total]]=Table2[[#This Row],[Total Amount]],"Correct","Check")</f>
        <v>Correct</v>
      </c>
    </row>
    <row r="803" spans="1:11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8">
        <v>30</v>
      </c>
      <c r="I803" s="8">
        <v>30</v>
      </c>
      <c r="J803">
        <f t="shared" si="12"/>
        <v>30</v>
      </c>
      <c r="K803" t="str">
        <f>IF(Table2[[#This Row],[Calculated Total]]=Table2[[#This Row],[Total Amount]],"Correct","Check")</f>
        <v>Correct</v>
      </c>
    </row>
    <row r="804" spans="1:11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8">
        <v>25</v>
      </c>
      <c r="I804" s="8">
        <v>100</v>
      </c>
      <c r="J804">
        <f t="shared" si="12"/>
        <v>100</v>
      </c>
      <c r="K804" t="str">
        <f>IF(Table2[[#This Row],[Calculated Total]]=Table2[[#This Row],[Total Amount]],"Correct","Check")</f>
        <v>Correct</v>
      </c>
    </row>
    <row r="805" spans="1:11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8">
        <v>30</v>
      </c>
      <c r="I805" s="8">
        <v>30</v>
      </c>
      <c r="J805">
        <f t="shared" si="12"/>
        <v>30</v>
      </c>
      <c r="K805" t="str">
        <f>IF(Table2[[#This Row],[Calculated Total]]=Table2[[#This Row],[Total Amount]],"Correct","Check")</f>
        <v>Correct</v>
      </c>
    </row>
    <row r="806" spans="1:11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8">
        <v>500</v>
      </c>
      <c r="I806" s="8">
        <v>1500</v>
      </c>
      <c r="J806">
        <f t="shared" si="12"/>
        <v>1500</v>
      </c>
      <c r="K806" t="str">
        <f>IF(Table2[[#This Row],[Calculated Total]]=Table2[[#This Row],[Total Amount]],"Correct","Check")</f>
        <v>Correct</v>
      </c>
    </row>
    <row r="807" spans="1:11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8">
        <v>300</v>
      </c>
      <c r="I807" s="8">
        <v>900</v>
      </c>
      <c r="J807">
        <f t="shared" si="12"/>
        <v>900</v>
      </c>
      <c r="K807" t="str">
        <f>IF(Table2[[#This Row],[Calculated Total]]=Table2[[#This Row],[Total Amount]],"Correct","Check")</f>
        <v>Correct</v>
      </c>
    </row>
    <row r="808" spans="1:11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8">
        <v>50</v>
      </c>
      <c r="I808" s="8">
        <v>200</v>
      </c>
      <c r="J808">
        <f t="shared" si="12"/>
        <v>200</v>
      </c>
      <c r="K808" t="str">
        <f>IF(Table2[[#This Row],[Calculated Total]]=Table2[[#This Row],[Total Amount]],"Correct","Check")</f>
        <v>Correct</v>
      </c>
    </row>
    <row r="809" spans="1:11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8">
        <v>500</v>
      </c>
      <c r="I809" s="8">
        <v>2000</v>
      </c>
      <c r="J809">
        <f t="shared" si="12"/>
        <v>2000</v>
      </c>
      <c r="K809" t="str">
        <f>IF(Table2[[#This Row],[Calculated Total]]=Table2[[#This Row],[Total Amount]],"Correct","Check")</f>
        <v>Correct</v>
      </c>
    </row>
    <row r="810" spans="1:11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8">
        <v>50</v>
      </c>
      <c r="I810" s="8">
        <v>100</v>
      </c>
      <c r="J810">
        <f t="shared" si="12"/>
        <v>100</v>
      </c>
      <c r="K810" t="str">
        <f>IF(Table2[[#This Row],[Calculated Total]]=Table2[[#This Row],[Total Amount]],"Correct","Check")</f>
        <v>Correct</v>
      </c>
    </row>
    <row r="811" spans="1:11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8">
        <v>25</v>
      </c>
      <c r="I811" s="8">
        <v>100</v>
      </c>
      <c r="J811">
        <f t="shared" si="12"/>
        <v>100</v>
      </c>
      <c r="K811" t="str">
        <f>IF(Table2[[#This Row],[Calculated Total]]=Table2[[#This Row],[Total Amount]],"Correct","Check")</f>
        <v>Correct</v>
      </c>
    </row>
    <row r="812" spans="1:11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8">
        <v>25</v>
      </c>
      <c r="I812" s="8">
        <v>50</v>
      </c>
      <c r="J812">
        <f t="shared" si="12"/>
        <v>50</v>
      </c>
      <c r="K812" t="str">
        <f>IF(Table2[[#This Row],[Calculated Total]]=Table2[[#This Row],[Total Amount]],"Correct","Check")</f>
        <v>Correct</v>
      </c>
    </row>
    <row r="813" spans="1:11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8">
        <v>25</v>
      </c>
      <c r="I813" s="8">
        <v>75</v>
      </c>
      <c r="J813">
        <f t="shared" si="12"/>
        <v>75</v>
      </c>
      <c r="K813" t="str">
        <f>IF(Table2[[#This Row],[Calculated Total]]=Table2[[#This Row],[Total Amount]],"Correct","Check")</f>
        <v>Correct</v>
      </c>
    </row>
    <row r="814" spans="1:11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8">
        <v>50</v>
      </c>
      <c r="I814" s="8">
        <v>150</v>
      </c>
      <c r="J814">
        <f t="shared" si="12"/>
        <v>150</v>
      </c>
      <c r="K814" t="str">
        <f>IF(Table2[[#This Row],[Calculated Total]]=Table2[[#This Row],[Total Amount]],"Correct","Check")</f>
        <v>Correct</v>
      </c>
    </row>
    <row r="815" spans="1:11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8">
        <v>500</v>
      </c>
      <c r="I815" s="8">
        <v>500</v>
      </c>
      <c r="J815">
        <f t="shared" si="12"/>
        <v>500</v>
      </c>
      <c r="K815" t="str">
        <f>IF(Table2[[#This Row],[Calculated Total]]=Table2[[#This Row],[Total Amount]],"Correct","Check")</f>
        <v>Correct</v>
      </c>
    </row>
    <row r="816" spans="1:11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8">
        <v>25</v>
      </c>
      <c r="I816" s="8">
        <v>75</v>
      </c>
      <c r="J816">
        <f t="shared" si="12"/>
        <v>75</v>
      </c>
      <c r="K816" t="str">
        <f>IF(Table2[[#This Row],[Calculated Total]]=Table2[[#This Row],[Total Amount]],"Correct","Check")</f>
        <v>Correct</v>
      </c>
    </row>
    <row r="817" spans="1:11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8">
        <v>500</v>
      </c>
      <c r="I817" s="8">
        <v>1000</v>
      </c>
      <c r="J817">
        <f t="shared" si="12"/>
        <v>1000</v>
      </c>
      <c r="K817" t="str">
        <f>IF(Table2[[#This Row],[Calculated Total]]=Table2[[#This Row],[Total Amount]],"Correct","Check")</f>
        <v>Correct</v>
      </c>
    </row>
    <row r="818" spans="1:11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8">
        <v>50</v>
      </c>
      <c r="I818" s="8">
        <v>200</v>
      </c>
      <c r="J818">
        <f t="shared" si="12"/>
        <v>200</v>
      </c>
      <c r="K818" t="str">
        <f>IF(Table2[[#This Row],[Calculated Total]]=Table2[[#This Row],[Total Amount]],"Correct","Check")</f>
        <v>Correct</v>
      </c>
    </row>
    <row r="819" spans="1:11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8">
        <v>500</v>
      </c>
      <c r="I819" s="8">
        <v>500</v>
      </c>
      <c r="J819">
        <f t="shared" si="12"/>
        <v>500</v>
      </c>
      <c r="K819" t="str">
        <f>IF(Table2[[#This Row],[Calculated Total]]=Table2[[#This Row],[Total Amount]],"Correct","Check")</f>
        <v>Correct</v>
      </c>
    </row>
    <row r="820" spans="1:11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8">
        <v>50</v>
      </c>
      <c r="I820" s="8">
        <v>100</v>
      </c>
      <c r="J820">
        <f t="shared" si="12"/>
        <v>100</v>
      </c>
      <c r="K820" t="str">
        <f>IF(Table2[[#This Row],[Calculated Total]]=Table2[[#This Row],[Total Amount]],"Correct","Check")</f>
        <v>Correct</v>
      </c>
    </row>
    <row r="821" spans="1:11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8">
        <v>50</v>
      </c>
      <c r="I821" s="8">
        <v>200</v>
      </c>
      <c r="J821">
        <f t="shared" si="12"/>
        <v>200</v>
      </c>
      <c r="K821" t="str">
        <f>IF(Table2[[#This Row],[Calculated Total]]=Table2[[#This Row],[Total Amount]],"Correct","Check")</f>
        <v>Correct</v>
      </c>
    </row>
    <row r="822" spans="1:11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8">
        <v>300</v>
      </c>
      <c r="I822" s="8">
        <v>300</v>
      </c>
      <c r="J822">
        <f t="shared" si="12"/>
        <v>300</v>
      </c>
      <c r="K822" t="str">
        <f>IF(Table2[[#This Row],[Calculated Total]]=Table2[[#This Row],[Total Amount]],"Correct","Check")</f>
        <v>Correct</v>
      </c>
    </row>
    <row r="823" spans="1:11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8">
        <v>50</v>
      </c>
      <c r="I823" s="8">
        <v>150</v>
      </c>
      <c r="J823">
        <f t="shared" si="12"/>
        <v>150</v>
      </c>
      <c r="K823" t="str">
        <f>IF(Table2[[#This Row],[Calculated Total]]=Table2[[#This Row],[Total Amount]],"Correct","Check")</f>
        <v>Correct</v>
      </c>
    </row>
    <row r="824" spans="1:11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8">
        <v>50</v>
      </c>
      <c r="I824" s="8">
        <v>100</v>
      </c>
      <c r="J824">
        <f t="shared" si="12"/>
        <v>100</v>
      </c>
      <c r="K824" t="str">
        <f>IF(Table2[[#This Row],[Calculated Total]]=Table2[[#This Row],[Total Amount]],"Correct","Check")</f>
        <v>Correct</v>
      </c>
    </row>
    <row r="825" spans="1:11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8">
        <v>30</v>
      </c>
      <c r="I825" s="8">
        <v>120</v>
      </c>
      <c r="J825">
        <f t="shared" si="12"/>
        <v>120</v>
      </c>
      <c r="K825" t="str">
        <f>IF(Table2[[#This Row],[Calculated Total]]=Table2[[#This Row],[Total Amount]],"Correct","Check")</f>
        <v>Correct</v>
      </c>
    </row>
    <row r="826" spans="1:11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8">
        <v>25</v>
      </c>
      <c r="I826" s="8">
        <v>25</v>
      </c>
      <c r="J826">
        <f t="shared" si="12"/>
        <v>25</v>
      </c>
      <c r="K826" t="str">
        <f>IF(Table2[[#This Row],[Calculated Total]]=Table2[[#This Row],[Total Amount]],"Correct","Check")</f>
        <v>Correct</v>
      </c>
    </row>
    <row r="827" spans="1:11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8">
        <v>300</v>
      </c>
      <c r="I827" s="8">
        <v>300</v>
      </c>
      <c r="J827">
        <f t="shared" si="12"/>
        <v>300</v>
      </c>
      <c r="K827" t="str">
        <f>IF(Table2[[#This Row],[Calculated Total]]=Table2[[#This Row],[Total Amount]],"Correct","Check")</f>
        <v>Correct</v>
      </c>
    </row>
    <row r="828" spans="1:11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8">
        <v>300</v>
      </c>
      <c r="I828" s="8">
        <v>900</v>
      </c>
      <c r="J828">
        <f t="shared" si="12"/>
        <v>900</v>
      </c>
      <c r="K828" t="str">
        <f>IF(Table2[[#This Row],[Calculated Total]]=Table2[[#This Row],[Total Amount]],"Correct","Check")</f>
        <v>Correct</v>
      </c>
    </row>
    <row r="829" spans="1:11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8">
        <v>300</v>
      </c>
      <c r="I829" s="8">
        <v>1200</v>
      </c>
      <c r="J829">
        <f t="shared" si="12"/>
        <v>1200</v>
      </c>
      <c r="K829" t="str">
        <f>IF(Table2[[#This Row],[Calculated Total]]=Table2[[#This Row],[Total Amount]],"Correct","Check")</f>
        <v>Correct</v>
      </c>
    </row>
    <row r="830" spans="1:11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8">
        <v>30</v>
      </c>
      <c r="I830" s="8">
        <v>90</v>
      </c>
      <c r="J830">
        <f t="shared" si="12"/>
        <v>90</v>
      </c>
      <c r="K830" t="str">
        <f>IF(Table2[[#This Row],[Calculated Total]]=Table2[[#This Row],[Total Amount]],"Correct","Check")</f>
        <v>Correct</v>
      </c>
    </row>
    <row r="831" spans="1:11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8">
        <v>50</v>
      </c>
      <c r="I831" s="8">
        <v>150</v>
      </c>
      <c r="J831">
        <f t="shared" si="12"/>
        <v>150</v>
      </c>
      <c r="K831" t="str">
        <f>IF(Table2[[#This Row],[Calculated Total]]=Table2[[#This Row],[Total Amount]],"Correct","Check")</f>
        <v>Correct</v>
      </c>
    </row>
    <row r="832" spans="1:11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8">
        <v>25</v>
      </c>
      <c r="I832" s="8">
        <v>100</v>
      </c>
      <c r="J832">
        <f t="shared" si="12"/>
        <v>100</v>
      </c>
      <c r="K832" t="str">
        <f>IF(Table2[[#This Row],[Calculated Total]]=Table2[[#This Row],[Total Amount]],"Correct","Check")</f>
        <v>Correct</v>
      </c>
    </row>
    <row r="833" spans="1:11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8">
        <v>500</v>
      </c>
      <c r="I833" s="8">
        <v>2000</v>
      </c>
      <c r="J833">
        <f t="shared" si="12"/>
        <v>2000</v>
      </c>
      <c r="K833" t="str">
        <f>IF(Table2[[#This Row],[Calculated Total]]=Table2[[#This Row],[Total Amount]],"Correct","Check")</f>
        <v>Correct</v>
      </c>
    </row>
    <row r="834" spans="1:11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8">
        <v>50</v>
      </c>
      <c r="I834" s="8">
        <v>200</v>
      </c>
      <c r="J834">
        <f t="shared" ref="J834:J897" si="13">G:G*H:H</f>
        <v>200</v>
      </c>
      <c r="K834" t="str">
        <f>IF(Table2[[#This Row],[Calculated Total]]=Table2[[#This Row],[Total Amount]],"Correct","Check")</f>
        <v>Correct</v>
      </c>
    </row>
    <row r="835" spans="1:11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8">
        <v>30</v>
      </c>
      <c r="I835" s="8">
        <v>60</v>
      </c>
      <c r="J835">
        <f t="shared" si="13"/>
        <v>60</v>
      </c>
      <c r="K835" t="str">
        <f>IF(Table2[[#This Row],[Calculated Total]]=Table2[[#This Row],[Total Amount]],"Correct","Check")</f>
        <v>Correct</v>
      </c>
    </row>
    <row r="836" spans="1:11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8">
        <v>50</v>
      </c>
      <c r="I836" s="8">
        <v>200</v>
      </c>
      <c r="J836">
        <f t="shared" si="13"/>
        <v>200</v>
      </c>
      <c r="K836" t="str">
        <f>IF(Table2[[#This Row],[Calculated Total]]=Table2[[#This Row],[Total Amount]],"Correct","Check")</f>
        <v>Correct</v>
      </c>
    </row>
    <row r="837" spans="1:11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8">
        <v>50</v>
      </c>
      <c r="I837" s="8">
        <v>50</v>
      </c>
      <c r="J837">
        <f t="shared" si="13"/>
        <v>50</v>
      </c>
      <c r="K837" t="str">
        <f>IF(Table2[[#This Row],[Calculated Total]]=Table2[[#This Row],[Total Amount]],"Correct","Check")</f>
        <v>Correct</v>
      </c>
    </row>
    <row r="838" spans="1:11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8">
        <v>30</v>
      </c>
      <c r="I838" s="8">
        <v>90</v>
      </c>
      <c r="J838">
        <f t="shared" si="13"/>
        <v>90</v>
      </c>
      <c r="K838" t="str">
        <f>IF(Table2[[#This Row],[Calculated Total]]=Table2[[#This Row],[Total Amount]],"Correct","Check")</f>
        <v>Correct</v>
      </c>
    </row>
    <row r="839" spans="1:11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8">
        <v>300</v>
      </c>
      <c r="I839" s="8">
        <v>600</v>
      </c>
      <c r="J839">
        <f t="shared" si="13"/>
        <v>600</v>
      </c>
      <c r="K839" t="str">
        <f>IF(Table2[[#This Row],[Calculated Total]]=Table2[[#This Row],[Total Amount]],"Correct","Check")</f>
        <v>Correct</v>
      </c>
    </row>
    <row r="840" spans="1:11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8">
        <v>300</v>
      </c>
      <c r="I840" s="8">
        <v>1200</v>
      </c>
      <c r="J840">
        <f t="shared" si="13"/>
        <v>1200</v>
      </c>
      <c r="K840" t="str">
        <f>IF(Table2[[#This Row],[Calculated Total]]=Table2[[#This Row],[Total Amount]],"Correct","Check")</f>
        <v>Correct</v>
      </c>
    </row>
    <row r="841" spans="1:11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8">
        <v>25</v>
      </c>
      <c r="I841" s="8">
        <v>50</v>
      </c>
      <c r="J841">
        <f t="shared" si="13"/>
        <v>50</v>
      </c>
      <c r="K841" t="str">
        <f>IF(Table2[[#This Row],[Calculated Total]]=Table2[[#This Row],[Total Amount]],"Correct","Check")</f>
        <v>Correct</v>
      </c>
    </row>
    <row r="842" spans="1:11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8">
        <v>25</v>
      </c>
      <c r="I842" s="8">
        <v>100</v>
      </c>
      <c r="J842">
        <f t="shared" si="13"/>
        <v>100</v>
      </c>
      <c r="K842" t="str">
        <f>IF(Table2[[#This Row],[Calculated Total]]=Table2[[#This Row],[Total Amount]],"Correct","Check")</f>
        <v>Correct</v>
      </c>
    </row>
    <row r="843" spans="1:11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8">
        <v>300</v>
      </c>
      <c r="I843" s="8">
        <v>600</v>
      </c>
      <c r="J843">
        <f t="shared" si="13"/>
        <v>600</v>
      </c>
      <c r="K843" t="str">
        <f>IF(Table2[[#This Row],[Calculated Total]]=Table2[[#This Row],[Total Amount]],"Correct","Check")</f>
        <v>Correct</v>
      </c>
    </row>
    <row r="844" spans="1:11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8">
        <v>500</v>
      </c>
      <c r="I844" s="8">
        <v>1500</v>
      </c>
      <c r="J844">
        <f t="shared" si="13"/>
        <v>1500</v>
      </c>
      <c r="K844" t="str">
        <f>IF(Table2[[#This Row],[Calculated Total]]=Table2[[#This Row],[Total Amount]],"Correct","Check")</f>
        <v>Correct</v>
      </c>
    </row>
    <row r="845" spans="1:11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8">
        <v>50</v>
      </c>
      <c r="I845" s="8">
        <v>150</v>
      </c>
      <c r="J845">
        <f t="shared" si="13"/>
        <v>150</v>
      </c>
      <c r="K845" t="str">
        <f>IF(Table2[[#This Row],[Calculated Total]]=Table2[[#This Row],[Total Amount]],"Correct","Check")</f>
        <v>Correct</v>
      </c>
    </row>
    <row r="846" spans="1:11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8">
        <v>500</v>
      </c>
      <c r="I846" s="8">
        <v>500</v>
      </c>
      <c r="J846">
        <f t="shared" si="13"/>
        <v>500</v>
      </c>
      <c r="K846" t="str">
        <f>IF(Table2[[#This Row],[Calculated Total]]=Table2[[#This Row],[Total Amount]],"Correct","Check")</f>
        <v>Correct</v>
      </c>
    </row>
    <row r="847" spans="1:11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8">
        <v>50</v>
      </c>
      <c r="I847" s="8">
        <v>50</v>
      </c>
      <c r="J847">
        <f t="shared" si="13"/>
        <v>50</v>
      </c>
      <c r="K847" t="str">
        <f>IF(Table2[[#This Row],[Calculated Total]]=Table2[[#This Row],[Total Amount]],"Correct","Check")</f>
        <v>Correct</v>
      </c>
    </row>
    <row r="848" spans="1:11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8">
        <v>300</v>
      </c>
      <c r="I848" s="8">
        <v>1200</v>
      </c>
      <c r="J848">
        <f t="shared" si="13"/>
        <v>1200</v>
      </c>
      <c r="K848" t="str">
        <f>IF(Table2[[#This Row],[Calculated Total]]=Table2[[#This Row],[Total Amount]],"Correct","Check")</f>
        <v>Correct</v>
      </c>
    </row>
    <row r="849" spans="1:11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8">
        <v>25</v>
      </c>
      <c r="I849" s="8">
        <v>75</v>
      </c>
      <c r="J849">
        <f t="shared" si="13"/>
        <v>75</v>
      </c>
      <c r="K849" t="str">
        <f>IF(Table2[[#This Row],[Calculated Total]]=Table2[[#This Row],[Total Amount]],"Correct","Check")</f>
        <v>Correct</v>
      </c>
    </row>
    <row r="850" spans="1:11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8">
        <v>25</v>
      </c>
      <c r="I850" s="8">
        <v>50</v>
      </c>
      <c r="J850">
        <f t="shared" si="13"/>
        <v>50</v>
      </c>
      <c r="K850" t="str">
        <f>IF(Table2[[#This Row],[Calculated Total]]=Table2[[#This Row],[Total Amount]],"Correct","Check")</f>
        <v>Correct</v>
      </c>
    </row>
    <row r="851" spans="1:11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8">
        <v>500</v>
      </c>
      <c r="I851" s="8">
        <v>1000</v>
      </c>
      <c r="J851">
        <f t="shared" si="13"/>
        <v>1000</v>
      </c>
      <c r="K851" t="str">
        <f>IF(Table2[[#This Row],[Calculated Total]]=Table2[[#This Row],[Total Amount]],"Correct","Check")</f>
        <v>Correct</v>
      </c>
    </row>
    <row r="852" spans="1:11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8">
        <v>25</v>
      </c>
      <c r="I852" s="8">
        <v>50</v>
      </c>
      <c r="J852">
        <f t="shared" si="13"/>
        <v>50</v>
      </c>
      <c r="K852" t="str">
        <f>IF(Table2[[#This Row],[Calculated Total]]=Table2[[#This Row],[Total Amount]],"Correct","Check")</f>
        <v>Correct</v>
      </c>
    </row>
    <row r="853" spans="1:11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8">
        <v>300</v>
      </c>
      <c r="I853" s="8">
        <v>300</v>
      </c>
      <c r="J853">
        <f t="shared" si="13"/>
        <v>300</v>
      </c>
      <c r="K853" t="str">
        <f>IF(Table2[[#This Row],[Calculated Total]]=Table2[[#This Row],[Total Amount]],"Correct","Check")</f>
        <v>Correct</v>
      </c>
    </row>
    <row r="854" spans="1:11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8">
        <v>500</v>
      </c>
      <c r="I854" s="8">
        <v>1000</v>
      </c>
      <c r="J854">
        <f t="shared" si="13"/>
        <v>1000</v>
      </c>
      <c r="K854" t="str">
        <f>IF(Table2[[#This Row],[Calculated Total]]=Table2[[#This Row],[Total Amount]],"Correct","Check")</f>
        <v>Correct</v>
      </c>
    </row>
    <row r="855" spans="1:11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8">
        <v>50</v>
      </c>
      <c r="I855" s="8">
        <v>50</v>
      </c>
      <c r="J855">
        <f t="shared" si="13"/>
        <v>50</v>
      </c>
      <c r="K855" t="str">
        <f>IF(Table2[[#This Row],[Calculated Total]]=Table2[[#This Row],[Total Amount]],"Correct","Check")</f>
        <v>Correct</v>
      </c>
    </row>
    <row r="856" spans="1:11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8">
        <v>25</v>
      </c>
      <c r="I856" s="8">
        <v>25</v>
      </c>
      <c r="J856">
        <f t="shared" si="13"/>
        <v>25</v>
      </c>
      <c r="K856" t="str">
        <f>IF(Table2[[#This Row],[Calculated Total]]=Table2[[#This Row],[Total Amount]],"Correct","Check")</f>
        <v>Correct</v>
      </c>
    </row>
    <row r="857" spans="1:11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8">
        <v>30</v>
      </c>
      <c r="I857" s="8">
        <v>120</v>
      </c>
      <c r="J857">
        <f t="shared" si="13"/>
        <v>120</v>
      </c>
      <c r="K857" t="str">
        <f>IF(Table2[[#This Row],[Calculated Total]]=Table2[[#This Row],[Total Amount]],"Correct","Check")</f>
        <v>Correct</v>
      </c>
    </row>
    <row r="858" spans="1:11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8">
        <v>25</v>
      </c>
      <c r="I858" s="8">
        <v>50</v>
      </c>
      <c r="J858">
        <f t="shared" si="13"/>
        <v>50</v>
      </c>
      <c r="K858" t="str">
        <f>IF(Table2[[#This Row],[Calculated Total]]=Table2[[#This Row],[Total Amount]],"Correct","Check")</f>
        <v>Correct</v>
      </c>
    </row>
    <row r="859" spans="1:11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8">
        <v>50</v>
      </c>
      <c r="I859" s="8">
        <v>100</v>
      </c>
      <c r="J859">
        <f t="shared" si="13"/>
        <v>100</v>
      </c>
      <c r="K859" t="str">
        <f>IF(Table2[[#This Row],[Calculated Total]]=Table2[[#This Row],[Total Amount]],"Correct","Check")</f>
        <v>Correct</v>
      </c>
    </row>
    <row r="860" spans="1:11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8">
        <v>500</v>
      </c>
      <c r="I860" s="8">
        <v>1500</v>
      </c>
      <c r="J860">
        <f t="shared" si="13"/>
        <v>1500</v>
      </c>
      <c r="K860" t="str">
        <f>IF(Table2[[#This Row],[Calculated Total]]=Table2[[#This Row],[Total Amount]],"Correct","Check")</f>
        <v>Correct</v>
      </c>
    </row>
    <row r="861" spans="1:11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8">
        <v>50</v>
      </c>
      <c r="I861" s="8">
        <v>200</v>
      </c>
      <c r="J861">
        <f t="shared" si="13"/>
        <v>200</v>
      </c>
      <c r="K861" t="str">
        <f>IF(Table2[[#This Row],[Calculated Total]]=Table2[[#This Row],[Total Amount]],"Correct","Check")</f>
        <v>Correct</v>
      </c>
    </row>
    <row r="862" spans="1:11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8">
        <v>30</v>
      </c>
      <c r="I862" s="8">
        <v>90</v>
      </c>
      <c r="J862">
        <f t="shared" si="13"/>
        <v>90</v>
      </c>
      <c r="K862" t="str">
        <f>IF(Table2[[#This Row],[Calculated Total]]=Table2[[#This Row],[Total Amount]],"Correct","Check")</f>
        <v>Correct</v>
      </c>
    </row>
    <row r="863" spans="1:11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8">
        <v>300</v>
      </c>
      <c r="I863" s="8">
        <v>1200</v>
      </c>
      <c r="J863">
        <f t="shared" si="13"/>
        <v>1200</v>
      </c>
      <c r="K863" t="str">
        <f>IF(Table2[[#This Row],[Calculated Total]]=Table2[[#This Row],[Total Amount]],"Correct","Check")</f>
        <v>Correct</v>
      </c>
    </row>
    <row r="864" spans="1:11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8">
        <v>25</v>
      </c>
      <c r="I864" s="8">
        <v>50</v>
      </c>
      <c r="J864">
        <f t="shared" si="13"/>
        <v>50</v>
      </c>
      <c r="K864" t="str">
        <f>IF(Table2[[#This Row],[Calculated Total]]=Table2[[#This Row],[Total Amount]],"Correct","Check")</f>
        <v>Correct</v>
      </c>
    </row>
    <row r="865" spans="1:11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8">
        <v>500</v>
      </c>
      <c r="I865" s="8">
        <v>500</v>
      </c>
      <c r="J865">
        <f t="shared" si="13"/>
        <v>500</v>
      </c>
      <c r="K865" t="str">
        <f>IF(Table2[[#This Row],[Calculated Total]]=Table2[[#This Row],[Total Amount]],"Correct","Check")</f>
        <v>Correct</v>
      </c>
    </row>
    <row r="866" spans="1:11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8">
        <v>300</v>
      </c>
      <c r="I866" s="8">
        <v>300</v>
      </c>
      <c r="J866">
        <f t="shared" si="13"/>
        <v>300</v>
      </c>
      <c r="K866" t="str">
        <f>IF(Table2[[#This Row],[Calculated Total]]=Table2[[#This Row],[Total Amount]],"Correct","Check")</f>
        <v>Correct</v>
      </c>
    </row>
    <row r="867" spans="1:11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8">
        <v>50</v>
      </c>
      <c r="I867" s="8">
        <v>50</v>
      </c>
      <c r="J867">
        <f t="shared" si="13"/>
        <v>50</v>
      </c>
      <c r="K867" t="str">
        <f>IF(Table2[[#This Row],[Calculated Total]]=Table2[[#This Row],[Total Amount]],"Correct","Check")</f>
        <v>Correct</v>
      </c>
    </row>
    <row r="868" spans="1:11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8">
        <v>500</v>
      </c>
      <c r="I868" s="8">
        <v>500</v>
      </c>
      <c r="J868">
        <f t="shared" si="13"/>
        <v>500</v>
      </c>
      <c r="K868" t="str">
        <f>IF(Table2[[#This Row],[Calculated Total]]=Table2[[#This Row],[Total Amount]],"Correct","Check")</f>
        <v>Correct</v>
      </c>
    </row>
    <row r="869" spans="1:11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8">
        <v>300</v>
      </c>
      <c r="I869" s="8">
        <v>300</v>
      </c>
      <c r="J869">
        <f t="shared" si="13"/>
        <v>300</v>
      </c>
      <c r="K869" t="str">
        <f>IF(Table2[[#This Row],[Calculated Total]]=Table2[[#This Row],[Total Amount]],"Correct","Check")</f>
        <v>Correct</v>
      </c>
    </row>
    <row r="870" spans="1:11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8">
        <v>500</v>
      </c>
      <c r="I870" s="8">
        <v>1500</v>
      </c>
      <c r="J870">
        <f t="shared" si="13"/>
        <v>1500</v>
      </c>
      <c r="K870" t="str">
        <f>IF(Table2[[#This Row],[Calculated Total]]=Table2[[#This Row],[Total Amount]],"Correct","Check")</f>
        <v>Correct</v>
      </c>
    </row>
    <row r="871" spans="1:11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8">
        <v>30</v>
      </c>
      <c r="I871" s="8">
        <v>120</v>
      </c>
      <c r="J871">
        <f t="shared" si="13"/>
        <v>120</v>
      </c>
      <c r="K871" t="str">
        <f>IF(Table2[[#This Row],[Calculated Total]]=Table2[[#This Row],[Total Amount]],"Correct","Check")</f>
        <v>Correct</v>
      </c>
    </row>
    <row r="872" spans="1:11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8">
        <v>30</v>
      </c>
      <c r="I872" s="8">
        <v>60</v>
      </c>
      <c r="J872">
        <f t="shared" si="13"/>
        <v>60</v>
      </c>
      <c r="K872" t="str">
        <f>IF(Table2[[#This Row],[Calculated Total]]=Table2[[#This Row],[Total Amount]],"Correct","Check")</f>
        <v>Correct</v>
      </c>
    </row>
    <row r="873" spans="1:11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8">
        <v>25</v>
      </c>
      <c r="I873" s="8">
        <v>75</v>
      </c>
      <c r="J873">
        <f t="shared" si="13"/>
        <v>75</v>
      </c>
      <c r="K873" t="str">
        <f>IF(Table2[[#This Row],[Calculated Total]]=Table2[[#This Row],[Total Amount]],"Correct","Check")</f>
        <v>Correct</v>
      </c>
    </row>
    <row r="874" spans="1:11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8">
        <v>25</v>
      </c>
      <c r="I874" s="8">
        <v>100</v>
      </c>
      <c r="J874">
        <f t="shared" si="13"/>
        <v>100</v>
      </c>
      <c r="K874" t="str">
        <f>IF(Table2[[#This Row],[Calculated Total]]=Table2[[#This Row],[Total Amount]],"Correct","Check")</f>
        <v>Correct</v>
      </c>
    </row>
    <row r="875" spans="1:11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8">
        <v>30</v>
      </c>
      <c r="I875" s="8">
        <v>30</v>
      </c>
      <c r="J875">
        <f t="shared" si="13"/>
        <v>30</v>
      </c>
      <c r="K875" t="str">
        <f>IF(Table2[[#This Row],[Calculated Total]]=Table2[[#This Row],[Total Amount]],"Correct","Check")</f>
        <v>Correct</v>
      </c>
    </row>
    <row r="876" spans="1:11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8">
        <v>500</v>
      </c>
      <c r="I876" s="8">
        <v>2000</v>
      </c>
      <c r="J876">
        <f t="shared" si="13"/>
        <v>2000</v>
      </c>
      <c r="K876" t="str">
        <f>IF(Table2[[#This Row],[Calculated Total]]=Table2[[#This Row],[Total Amount]],"Correct","Check")</f>
        <v>Correct</v>
      </c>
    </row>
    <row r="877" spans="1:11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8">
        <v>30</v>
      </c>
      <c r="I877" s="8">
        <v>120</v>
      </c>
      <c r="J877">
        <f t="shared" si="13"/>
        <v>120</v>
      </c>
      <c r="K877" t="str">
        <f>IF(Table2[[#This Row],[Calculated Total]]=Table2[[#This Row],[Total Amount]],"Correct","Check")</f>
        <v>Correct</v>
      </c>
    </row>
    <row r="878" spans="1:11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8">
        <v>25</v>
      </c>
      <c r="I878" s="8">
        <v>25</v>
      </c>
      <c r="J878">
        <f t="shared" si="13"/>
        <v>25</v>
      </c>
      <c r="K878" t="str">
        <f>IF(Table2[[#This Row],[Calculated Total]]=Table2[[#This Row],[Total Amount]],"Correct","Check")</f>
        <v>Correct</v>
      </c>
    </row>
    <row r="879" spans="1:11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8">
        <v>30</v>
      </c>
      <c r="I879" s="8">
        <v>30</v>
      </c>
      <c r="J879">
        <f t="shared" si="13"/>
        <v>30</v>
      </c>
      <c r="K879" t="str">
        <f>IF(Table2[[#This Row],[Calculated Total]]=Table2[[#This Row],[Total Amount]],"Correct","Check")</f>
        <v>Correct</v>
      </c>
    </row>
    <row r="880" spans="1:11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8">
        <v>30</v>
      </c>
      <c r="I880" s="8">
        <v>30</v>
      </c>
      <c r="J880">
        <f t="shared" si="13"/>
        <v>30</v>
      </c>
      <c r="K880" t="str">
        <f>IF(Table2[[#This Row],[Calculated Total]]=Table2[[#This Row],[Total Amount]],"Correct","Check")</f>
        <v>Correct</v>
      </c>
    </row>
    <row r="881" spans="1:11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8">
        <v>500</v>
      </c>
      <c r="I881" s="8">
        <v>1000</v>
      </c>
      <c r="J881">
        <f t="shared" si="13"/>
        <v>1000</v>
      </c>
      <c r="K881" t="str">
        <f>IF(Table2[[#This Row],[Calculated Total]]=Table2[[#This Row],[Total Amount]],"Correct","Check")</f>
        <v>Correct</v>
      </c>
    </row>
    <row r="882" spans="1:11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8">
        <v>300</v>
      </c>
      <c r="I882" s="8">
        <v>300</v>
      </c>
      <c r="J882">
        <f t="shared" si="13"/>
        <v>300</v>
      </c>
      <c r="K882" t="str">
        <f>IF(Table2[[#This Row],[Calculated Total]]=Table2[[#This Row],[Total Amount]],"Correct","Check")</f>
        <v>Correct</v>
      </c>
    </row>
    <row r="883" spans="1:11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8">
        <v>25</v>
      </c>
      <c r="I883" s="8">
        <v>50</v>
      </c>
      <c r="J883">
        <f t="shared" si="13"/>
        <v>50</v>
      </c>
      <c r="K883" t="str">
        <f>IF(Table2[[#This Row],[Calculated Total]]=Table2[[#This Row],[Total Amount]],"Correct","Check")</f>
        <v>Correct</v>
      </c>
    </row>
    <row r="884" spans="1:11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8">
        <v>500</v>
      </c>
      <c r="I884" s="8">
        <v>500</v>
      </c>
      <c r="J884">
        <f t="shared" si="13"/>
        <v>500</v>
      </c>
      <c r="K884" t="str">
        <f>IF(Table2[[#This Row],[Calculated Total]]=Table2[[#This Row],[Total Amount]],"Correct","Check")</f>
        <v>Correct</v>
      </c>
    </row>
    <row r="885" spans="1:11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8">
        <v>30</v>
      </c>
      <c r="I885" s="8">
        <v>60</v>
      </c>
      <c r="J885">
        <f t="shared" si="13"/>
        <v>60</v>
      </c>
      <c r="K885" t="str">
        <f>IF(Table2[[#This Row],[Calculated Total]]=Table2[[#This Row],[Total Amount]],"Correct","Check")</f>
        <v>Correct</v>
      </c>
    </row>
    <row r="886" spans="1:11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8">
        <v>30</v>
      </c>
      <c r="I886" s="8">
        <v>120</v>
      </c>
      <c r="J886">
        <f t="shared" si="13"/>
        <v>120</v>
      </c>
      <c r="K886" t="str">
        <f>IF(Table2[[#This Row],[Calculated Total]]=Table2[[#This Row],[Total Amount]],"Correct","Check")</f>
        <v>Correct</v>
      </c>
    </row>
    <row r="887" spans="1:11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8">
        <v>300</v>
      </c>
      <c r="I887" s="8">
        <v>900</v>
      </c>
      <c r="J887">
        <f t="shared" si="13"/>
        <v>900</v>
      </c>
      <c r="K887" t="str">
        <f>IF(Table2[[#This Row],[Calculated Total]]=Table2[[#This Row],[Total Amount]],"Correct","Check")</f>
        <v>Correct</v>
      </c>
    </row>
    <row r="888" spans="1:11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8">
        <v>25</v>
      </c>
      <c r="I888" s="8">
        <v>100</v>
      </c>
      <c r="J888">
        <f t="shared" si="13"/>
        <v>100</v>
      </c>
      <c r="K888" t="str">
        <f>IF(Table2[[#This Row],[Calculated Total]]=Table2[[#This Row],[Total Amount]],"Correct","Check")</f>
        <v>Correct</v>
      </c>
    </row>
    <row r="889" spans="1:11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8">
        <v>25</v>
      </c>
      <c r="I889" s="8">
        <v>100</v>
      </c>
      <c r="J889">
        <f t="shared" si="13"/>
        <v>100</v>
      </c>
      <c r="K889" t="str">
        <f>IF(Table2[[#This Row],[Calculated Total]]=Table2[[#This Row],[Total Amount]],"Correct","Check")</f>
        <v>Correct</v>
      </c>
    </row>
    <row r="890" spans="1:11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8">
        <v>50</v>
      </c>
      <c r="I890" s="8">
        <v>50</v>
      </c>
      <c r="J890">
        <f t="shared" si="13"/>
        <v>50</v>
      </c>
      <c r="K890" t="str">
        <f>IF(Table2[[#This Row],[Calculated Total]]=Table2[[#This Row],[Total Amount]],"Correct","Check")</f>
        <v>Correct</v>
      </c>
    </row>
    <row r="891" spans="1:11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8">
        <v>25</v>
      </c>
      <c r="I891" s="8">
        <v>50</v>
      </c>
      <c r="J891">
        <f t="shared" si="13"/>
        <v>50</v>
      </c>
      <c r="K891" t="str">
        <f>IF(Table2[[#This Row],[Calculated Total]]=Table2[[#This Row],[Total Amount]],"Correct","Check")</f>
        <v>Correct</v>
      </c>
    </row>
    <row r="892" spans="1:11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8">
        <v>300</v>
      </c>
      <c r="I892" s="8">
        <v>900</v>
      </c>
      <c r="J892">
        <f t="shared" si="13"/>
        <v>900</v>
      </c>
      <c r="K892" t="str">
        <f>IF(Table2[[#This Row],[Calculated Total]]=Table2[[#This Row],[Total Amount]],"Correct","Check")</f>
        <v>Correct</v>
      </c>
    </row>
    <row r="893" spans="1:11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8">
        <v>50</v>
      </c>
      <c r="I893" s="8">
        <v>50</v>
      </c>
      <c r="J893">
        <f t="shared" si="13"/>
        <v>50</v>
      </c>
      <c r="K893" t="str">
        <f>IF(Table2[[#This Row],[Calculated Total]]=Table2[[#This Row],[Total Amount]],"Correct","Check")</f>
        <v>Correct</v>
      </c>
    </row>
    <row r="894" spans="1:11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8">
        <v>50</v>
      </c>
      <c r="I894" s="8">
        <v>50</v>
      </c>
      <c r="J894">
        <f t="shared" si="13"/>
        <v>50</v>
      </c>
      <c r="K894" t="str">
        <f>IF(Table2[[#This Row],[Calculated Total]]=Table2[[#This Row],[Total Amount]],"Correct","Check")</f>
        <v>Correct</v>
      </c>
    </row>
    <row r="895" spans="1:11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8">
        <v>30</v>
      </c>
      <c r="I895" s="8">
        <v>30</v>
      </c>
      <c r="J895">
        <f t="shared" si="13"/>
        <v>30</v>
      </c>
      <c r="K895" t="str">
        <f>IF(Table2[[#This Row],[Calculated Total]]=Table2[[#This Row],[Total Amount]],"Correct","Check")</f>
        <v>Correct</v>
      </c>
    </row>
    <row r="896" spans="1:11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8">
        <v>30</v>
      </c>
      <c r="I896" s="8">
        <v>120</v>
      </c>
      <c r="J896">
        <f t="shared" si="13"/>
        <v>120</v>
      </c>
      <c r="K896" t="str">
        <f>IF(Table2[[#This Row],[Calculated Total]]=Table2[[#This Row],[Total Amount]],"Correct","Check")</f>
        <v>Correct</v>
      </c>
    </row>
    <row r="897" spans="1:11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8">
        <v>25</v>
      </c>
      <c r="I897" s="8">
        <v>50</v>
      </c>
      <c r="J897">
        <f t="shared" si="13"/>
        <v>50</v>
      </c>
      <c r="K897" t="str">
        <f>IF(Table2[[#This Row],[Calculated Total]]=Table2[[#This Row],[Total Amount]],"Correct","Check")</f>
        <v>Correct</v>
      </c>
    </row>
    <row r="898" spans="1:11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8">
        <v>50</v>
      </c>
      <c r="I898" s="8">
        <v>100</v>
      </c>
      <c r="J898">
        <f t="shared" ref="J898:J961" si="14">G:G*H:H</f>
        <v>100</v>
      </c>
      <c r="K898" t="str">
        <f>IF(Table2[[#This Row],[Calculated Total]]=Table2[[#This Row],[Total Amount]],"Correct","Check")</f>
        <v>Correct</v>
      </c>
    </row>
    <row r="899" spans="1:11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8">
        <v>30</v>
      </c>
      <c r="I899" s="8">
        <v>90</v>
      </c>
      <c r="J899">
        <f t="shared" si="14"/>
        <v>90</v>
      </c>
      <c r="K899" t="str">
        <f>IF(Table2[[#This Row],[Calculated Total]]=Table2[[#This Row],[Total Amount]],"Correct","Check")</f>
        <v>Correct</v>
      </c>
    </row>
    <row r="900" spans="1:11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8">
        <v>300</v>
      </c>
      <c r="I900" s="8">
        <v>600</v>
      </c>
      <c r="J900">
        <f t="shared" si="14"/>
        <v>600</v>
      </c>
      <c r="K900" t="str">
        <f>IF(Table2[[#This Row],[Calculated Total]]=Table2[[#This Row],[Total Amount]],"Correct","Check")</f>
        <v>Correct</v>
      </c>
    </row>
    <row r="901" spans="1:11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8">
        <v>30</v>
      </c>
      <c r="I901" s="8">
        <v>60</v>
      </c>
      <c r="J901">
        <f t="shared" si="14"/>
        <v>60</v>
      </c>
      <c r="K901" t="str">
        <f>IF(Table2[[#This Row],[Calculated Total]]=Table2[[#This Row],[Total Amount]],"Correct","Check")</f>
        <v>Correct</v>
      </c>
    </row>
    <row r="902" spans="1:11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8">
        <v>30</v>
      </c>
      <c r="I902" s="8">
        <v>30</v>
      </c>
      <c r="J902">
        <f t="shared" si="14"/>
        <v>30</v>
      </c>
      <c r="K902" t="str">
        <f>IF(Table2[[#This Row],[Calculated Total]]=Table2[[#This Row],[Total Amount]],"Correct","Check")</f>
        <v>Correct</v>
      </c>
    </row>
    <row r="903" spans="1:11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8">
        <v>50</v>
      </c>
      <c r="I903" s="8">
        <v>50</v>
      </c>
      <c r="J903">
        <f t="shared" si="14"/>
        <v>50</v>
      </c>
      <c r="K903" t="str">
        <f>IF(Table2[[#This Row],[Calculated Total]]=Table2[[#This Row],[Total Amount]],"Correct","Check")</f>
        <v>Correct</v>
      </c>
    </row>
    <row r="904" spans="1:11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8">
        <v>50</v>
      </c>
      <c r="I904" s="8">
        <v>200</v>
      </c>
      <c r="J904">
        <f t="shared" si="14"/>
        <v>200</v>
      </c>
      <c r="K904" t="str">
        <f>IF(Table2[[#This Row],[Calculated Total]]=Table2[[#This Row],[Total Amount]],"Correct","Check")</f>
        <v>Correct</v>
      </c>
    </row>
    <row r="905" spans="1:11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8">
        <v>500</v>
      </c>
      <c r="I905" s="8">
        <v>500</v>
      </c>
      <c r="J905">
        <f t="shared" si="14"/>
        <v>500</v>
      </c>
      <c r="K905" t="str">
        <f>IF(Table2[[#This Row],[Calculated Total]]=Table2[[#This Row],[Total Amount]],"Correct","Check")</f>
        <v>Correct</v>
      </c>
    </row>
    <row r="906" spans="1:11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8">
        <v>300</v>
      </c>
      <c r="I906" s="8">
        <v>300</v>
      </c>
      <c r="J906">
        <f t="shared" si="14"/>
        <v>300</v>
      </c>
      <c r="K906" t="str">
        <f>IF(Table2[[#This Row],[Calculated Total]]=Table2[[#This Row],[Total Amount]],"Correct","Check")</f>
        <v>Correct</v>
      </c>
    </row>
    <row r="907" spans="1:11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8">
        <v>50</v>
      </c>
      <c r="I907" s="8">
        <v>50</v>
      </c>
      <c r="J907">
        <f t="shared" si="14"/>
        <v>50</v>
      </c>
      <c r="K907" t="str">
        <f>IF(Table2[[#This Row],[Calculated Total]]=Table2[[#This Row],[Total Amount]],"Correct","Check")</f>
        <v>Correct</v>
      </c>
    </row>
    <row r="908" spans="1:11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8">
        <v>25</v>
      </c>
      <c r="I908" s="8">
        <v>25</v>
      </c>
      <c r="J908">
        <f t="shared" si="14"/>
        <v>25</v>
      </c>
      <c r="K908" t="str">
        <f>IF(Table2[[#This Row],[Calculated Total]]=Table2[[#This Row],[Total Amount]],"Correct","Check")</f>
        <v>Correct</v>
      </c>
    </row>
    <row r="909" spans="1:11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8">
        <v>300</v>
      </c>
      <c r="I909" s="8">
        <v>1200</v>
      </c>
      <c r="J909">
        <f t="shared" si="14"/>
        <v>1200</v>
      </c>
      <c r="K909" t="str">
        <f>IF(Table2[[#This Row],[Calculated Total]]=Table2[[#This Row],[Total Amount]],"Correct","Check")</f>
        <v>Correct</v>
      </c>
    </row>
    <row r="910" spans="1:11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8">
        <v>300</v>
      </c>
      <c r="I910" s="8">
        <v>300</v>
      </c>
      <c r="J910">
        <f t="shared" si="14"/>
        <v>300</v>
      </c>
      <c r="K910" t="str">
        <f>IF(Table2[[#This Row],[Calculated Total]]=Table2[[#This Row],[Total Amount]],"Correct","Check")</f>
        <v>Correct</v>
      </c>
    </row>
    <row r="911" spans="1:11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8">
        <v>50</v>
      </c>
      <c r="I911" s="8">
        <v>150</v>
      </c>
      <c r="J911">
        <f t="shared" si="14"/>
        <v>150</v>
      </c>
      <c r="K911" t="str">
        <f>IF(Table2[[#This Row],[Calculated Total]]=Table2[[#This Row],[Total Amount]],"Correct","Check")</f>
        <v>Correct</v>
      </c>
    </row>
    <row r="912" spans="1:11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8">
        <v>300</v>
      </c>
      <c r="I912" s="8">
        <v>900</v>
      </c>
      <c r="J912">
        <f t="shared" si="14"/>
        <v>900</v>
      </c>
      <c r="K912" t="str">
        <f>IF(Table2[[#This Row],[Calculated Total]]=Table2[[#This Row],[Total Amount]],"Correct","Check")</f>
        <v>Correct</v>
      </c>
    </row>
    <row r="913" spans="1:11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8">
        <v>50</v>
      </c>
      <c r="I913" s="8">
        <v>150</v>
      </c>
      <c r="J913">
        <f t="shared" si="14"/>
        <v>150</v>
      </c>
      <c r="K913" t="str">
        <f>IF(Table2[[#This Row],[Calculated Total]]=Table2[[#This Row],[Total Amount]],"Correct","Check")</f>
        <v>Correct</v>
      </c>
    </row>
    <row r="914" spans="1:11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8">
        <v>30</v>
      </c>
      <c r="I914" s="8">
        <v>90</v>
      </c>
      <c r="J914">
        <f t="shared" si="14"/>
        <v>90</v>
      </c>
      <c r="K914" t="str">
        <f>IF(Table2[[#This Row],[Calculated Total]]=Table2[[#This Row],[Total Amount]],"Correct","Check")</f>
        <v>Correct</v>
      </c>
    </row>
    <row r="915" spans="1:11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8">
        <v>500</v>
      </c>
      <c r="I915" s="8">
        <v>500</v>
      </c>
      <c r="J915">
        <f t="shared" si="14"/>
        <v>500</v>
      </c>
      <c r="K915" t="str">
        <f>IF(Table2[[#This Row],[Calculated Total]]=Table2[[#This Row],[Total Amount]],"Correct","Check")</f>
        <v>Correct</v>
      </c>
    </row>
    <row r="916" spans="1:11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8">
        <v>30</v>
      </c>
      <c r="I916" s="8">
        <v>90</v>
      </c>
      <c r="J916">
        <f t="shared" si="14"/>
        <v>90</v>
      </c>
      <c r="K916" t="str">
        <f>IF(Table2[[#This Row],[Calculated Total]]=Table2[[#This Row],[Total Amount]],"Correct","Check")</f>
        <v>Correct</v>
      </c>
    </row>
    <row r="917" spans="1:11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8">
        <v>50</v>
      </c>
      <c r="I917" s="8">
        <v>50</v>
      </c>
      <c r="J917">
        <f t="shared" si="14"/>
        <v>50</v>
      </c>
      <c r="K917" t="str">
        <f>IF(Table2[[#This Row],[Calculated Total]]=Table2[[#This Row],[Total Amount]],"Correct","Check")</f>
        <v>Correct</v>
      </c>
    </row>
    <row r="918" spans="1:11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8">
        <v>50</v>
      </c>
      <c r="I918" s="8">
        <v>200</v>
      </c>
      <c r="J918">
        <f t="shared" si="14"/>
        <v>200</v>
      </c>
      <c r="K918" t="str">
        <f>IF(Table2[[#This Row],[Calculated Total]]=Table2[[#This Row],[Total Amount]],"Correct","Check")</f>
        <v>Correct</v>
      </c>
    </row>
    <row r="919" spans="1:11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8">
        <v>30</v>
      </c>
      <c r="I919" s="8">
        <v>90</v>
      </c>
      <c r="J919">
        <f t="shared" si="14"/>
        <v>90</v>
      </c>
      <c r="K919" t="str">
        <f>IF(Table2[[#This Row],[Calculated Total]]=Table2[[#This Row],[Total Amount]],"Correct","Check")</f>
        <v>Correct</v>
      </c>
    </row>
    <row r="920" spans="1:11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8">
        <v>25</v>
      </c>
      <c r="I920" s="8">
        <v>50</v>
      </c>
      <c r="J920">
        <f t="shared" si="14"/>
        <v>50</v>
      </c>
      <c r="K920" t="str">
        <f>IF(Table2[[#This Row],[Calculated Total]]=Table2[[#This Row],[Total Amount]],"Correct","Check")</f>
        <v>Correct</v>
      </c>
    </row>
    <row r="921" spans="1:11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8">
        <v>25</v>
      </c>
      <c r="I921" s="8">
        <v>75</v>
      </c>
      <c r="J921">
        <f t="shared" si="14"/>
        <v>75</v>
      </c>
      <c r="K921" t="str">
        <f>IF(Table2[[#This Row],[Calculated Total]]=Table2[[#This Row],[Total Amount]],"Correct","Check")</f>
        <v>Correct</v>
      </c>
    </row>
    <row r="922" spans="1:11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8">
        <v>25</v>
      </c>
      <c r="I922" s="8">
        <v>75</v>
      </c>
      <c r="J922">
        <f t="shared" si="14"/>
        <v>75</v>
      </c>
      <c r="K922" t="str">
        <f>IF(Table2[[#This Row],[Calculated Total]]=Table2[[#This Row],[Total Amount]],"Correct","Check")</f>
        <v>Correct</v>
      </c>
    </row>
    <row r="923" spans="1:11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8">
        <v>50</v>
      </c>
      <c r="I923" s="8">
        <v>50</v>
      </c>
      <c r="J923">
        <f t="shared" si="14"/>
        <v>50</v>
      </c>
      <c r="K923" t="str">
        <f>IF(Table2[[#This Row],[Calculated Total]]=Table2[[#This Row],[Total Amount]],"Correct","Check")</f>
        <v>Correct</v>
      </c>
    </row>
    <row r="924" spans="1:11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8">
        <v>300</v>
      </c>
      <c r="I924" s="8">
        <v>900</v>
      </c>
      <c r="J924">
        <f t="shared" si="14"/>
        <v>900</v>
      </c>
      <c r="K924" t="str">
        <f>IF(Table2[[#This Row],[Calculated Total]]=Table2[[#This Row],[Total Amount]],"Correct","Check")</f>
        <v>Correct</v>
      </c>
    </row>
    <row r="925" spans="1:11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8">
        <v>50</v>
      </c>
      <c r="I925" s="8">
        <v>100</v>
      </c>
      <c r="J925">
        <f t="shared" si="14"/>
        <v>100</v>
      </c>
      <c r="K925" t="str">
        <f>IF(Table2[[#This Row],[Calculated Total]]=Table2[[#This Row],[Total Amount]],"Correct","Check")</f>
        <v>Correct</v>
      </c>
    </row>
    <row r="926" spans="1:11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8">
        <v>300</v>
      </c>
      <c r="I926" s="8">
        <v>300</v>
      </c>
      <c r="J926">
        <f t="shared" si="14"/>
        <v>300</v>
      </c>
      <c r="K926" t="str">
        <f>IF(Table2[[#This Row],[Calculated Total]]=Table2[[#This Row],[Total Amount]],"Correct","Check")</f>
        <v>Correct</v>
      </c>
    </row>
    <row r="927" spans="1:11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8">
        <v>30</v>
      </c>
      <c r="I927" s="8">
        <v>30</v>
      </c>
      <c r="J927">
        <f t="shared" si="14"/>
        <v>30</v>
      </c>
      <c r="K927" t="str">
        <f>IF(Table2[[#This Row],[Calculated Total]]=Table2[[#This Row],[Total Amount]],"Correct","Check")</f>
        <v>Correct</v>
      </c>
    </row>
    <row r="928" spans="1:11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8">
        <v>500</v>
      </c>
      <c r="I928" s="8">
        <v>2000</v>
      </c>
      <c r="J928">
        <f t="shared" si="14"/>
        <v>2000</v>
      </c>
      <c r="K928" t="str">
        <f>IF(Table2[[#This Row],[Calculated Total]]=Table2[[#This Row],[Total Amount]],"Correct","Check")</f>
        <v>Correct</v>
      </c>
    </row>
    <row r="929" spans="1:11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8">
        <v>300</v>
      </c>
      <c r="I929" s="8">
        <v>1200</v>
      </c>
      <c r="J929">
        <f t="shared" si="14"/>
        <v>1200</v>
      </c>
      <c r="K929" t="str">
        <f>IF(Table2[[#This Row],[Calculated Total]]=Table2[[#This Row],[Total Amount]],"Correct","Check")</f>
        <v>Correct</v>
      </c>
    </row>
    <row r="930" spans="1:11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8">
        <v>25</v>
      </c>
      <c r="I930" s="8">
        <v>75</v>
      </c>
      <c r="J930">
        <f t="shared" si="14"/>
        <v>75</v>
      </c>
      <c r="K930" t="str">
        <f>IF(Table2[[#This Row],[Calculated Total]]=Table2[[#This Row],[Total Amount]],"Correct","Check")</f>
        <v>Correct</v>
      </c>
    </row>
    <row r="931" spans="1:11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8">
        <v>50</v>
      </c>
      <c r="I931" s="8">
        <v>200</v>
      </c>
      <c r="J931">
        <f t="shared" si="14"/>
        <v>200</v>
      </c>
      <c r="K931" t="str">
        <f>IF(Table2[[#This Row],[Calculated Total]]=Table2[[#This Row],[Total Amount]],"Correct","Check")</f>
        <v>Correct</v>
      </c>
    </row>
    <row r="932" spans="1:11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8">
        <v>30</v>
      </c>
      <c r="I932" s="8">
        <v>120</v>
      </c>
      <c r="J932">
        <f t="shared" si="14"/>
        <v>120</v>
      </c>
      <c r="K932" t="str">
        <f>IF(Table2[[#This Row],[Calculated Total]]=Table2[[#This Row],[Total Amount]],"Correct","Check")</f>
        <v>Correct</v>
      </c>
    </row>
    <row r="933" spans="1:11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8">
        <v>25</v>
      </c>
      <c r="I933" s="8">
        <v>100</v>
      </c>
      <c r="J933">
        <f t="shared" si="14"/>
        <v>100</v>
      </c>
      <c r="K933" t="str">
        <f>IF(Table2[[#This Row],[Calculated Total]]=Table2[[#This Row],[Total Amount]],"Correct","Check")</f>
        <v>Correct</v>
      </c>
    </row>
    <row r="934" spans="1:11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8">
        <v>30</v>
      </c>
      <c r="I934" s="8">
        <v>30</v>
      </c>
      <c r="J934">
        <f t="shared" si="14"/>
        <v>30</v>
      </c>
      <c r="K934" t="str">
        <f>IF(Table2[[#This Row],[Calculated Total]]=Table2[[#This Row],[Total Amount]],"Correct","Check")</f>
        <v>Correct</v>
      </c>
    </row>
    <row r="935" spans="1:11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8">
        <v>500</v>
      </c>
      <c r="I935" s="8">
        <v>500</v>
      </c>
      <c r="J935">
        <f t="shared" si="14"/>
        <v>500</v>
      </c>
      <c r="K935" t="str">
        <f>IF(Table2[[#This Row],[Calculated Total]]=Table2[[#This Row],[Total Amount]],"Correct","Check")</f>
        <v>Correct</v>
      </c>
    </row>
    <row r="936" spans="1:11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8">
        <v>50</v>
      </c>
      <c r="I936" s="8">
        <v>50</v>
      </c>
      <c r="J936">
        <f t="shared" si="14"/>
        <v>50</v>
      </c>
      <c r="K936" t="str">
        <f>IF(Table2[[#This Row],[Calculated Total]]=Table2[[#This Row],[Total Amount]],"Correct","Check")</f>
        <v>Correct</v>
      </c>
    </row>
    <row r="937" spans="1:11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8">
        <v>50</v>
      </c>
      <c r="I937" s="8">
        <v>200</v>
      </c>
      <c r="J937">
        <f t="shared" si="14"/>
        <v>200</v>
      </c>
      <c r="K937" t="str">
        <f>IF(Table2[[#This Row],[Calculated Total]]=Table2[[#This Row],[Total Amount]],"Correct","Check")</f>
        <v>Correct</v>
      </c>
    </row>
    <row r="938" spans="1:11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8">
        <v>500</v>
      </c>
      <c r="I938" s="8">
        <v>500</v>
      </c>
      <c r="J938">
        <f t="shared" si="14"/>
        <v>500</v>
      </c>
      <c r="K938" t="str">
        <f>IF(Table2[[#This Row],[Calculated Total]]=Table2[[#This Row],[Total Amount]],"Correct","Check")</f>
        <v>Correct</v>
      </c>
    </row>
    <row r="939" spans="1:11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8">
        <v>50</v>
      </c>
      <c r="I939" s="8">
        <v>200</v>
      </c>
      <c r="J939">
        <f t="shared" si="14"/>
        <v>200</v>
      </c>
      <c r="K939" t="str">
        <f>IF(Table2[[#This Row],[Calculated Total]]=Table2[[#This Row],[Total Amount]],"Correct","Check")</f>
        <v>Correct</v>
      </c>
    </row>
    <row r="940" spans="1:11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8">
        <v>300</v>
      </c>
      <c r="I940" s="8">
        <v>300</v>
      </c>
      <c r="J940">
        <f t="shared" si="14"/>
        <v>300</v>
      </c>
      <c r="K940" t="str">
        <f>IF(Table2[[#This Row],[Calculated Total]]=Table2[[#This Row],[Total Amount]],"Correct","Check")</f>
        <v>Correct</v>
      </c>
    </row>
    <row r="941" spans="1:11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8">
        <v>30</v>
      </c>
      <c r="I941" s="8">
        <v>30</v>
      </c>
      <c r="J941">
        <f t="shared" si="14"/>
        <v>30</v>
      </c>
      <c r="K941" t="str">
        <f>IF(Table2[[#This Row],[Calculated Total]]=Table2[[#This Row],[Total Amount]],"Correct","Check")</f>
        <v>Correct</v>
      </c>
    </row>
    <row r="942" spans="1:11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8">
        <v>25</v>
      </c>
      <c r="I942" s="8">
        <v>50</v>
      </c>
      <c r="J942">
        <f t="shared" si="14"/>
        <v>50</v>
      </c>
      <c r="K942" t="str">
        <f>IF(Table2[[#This Row],[Calculated Total]]=Table2[[#This Row],[Total Amount]],"Correct","Check")</f>
        <v>Correct</v>
      </c>
    </row>
    <row r="943" spans="1:11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8">
        <v>500</v>
      </c>
      <c r="I943" s="8">
        <v>1500</v>
      </c>
      <c r="J943">
        <f t="shared" si="14"/>
        <v>1500</v>
      </c>
      <c r="K943" t="str">
        <f>IF(Table2[[#This Row],[Calculated Total]]=Table2[[#This Row],[Total Amount]],"Correct","Check")</f>
        <v>Correct</v>
      </c>
    </row>
    <row r="944" spans="1:11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8">
        <v>300</v>
      </c>
      <c r="I944" s="8">
        <v>1200</v>
      </c>
      <c r="J944">
        <f t="shared" si="14"/>
        <v>1200</v>
      </c>
      <c r="K944" t="str">
        <f>IF(Table2[[#This Row],[Calculated Total]]=Table2[[#This Row],[Total Amount]],"Correct","Check")</f>
        <v>Correct</v>
      </c>
    </row>
    <row r="945" spans="1:11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8">
        <v>25</v>
      </c>
      <c r="I945" s="8">
        <v>50</v>
      </c>
      <c r="J945">
        <f t="shared" si="14"/>
        <v>50</v>
      </c>
      <c r="K945" t="str">
        <f>IF(Table2[[#This Row],[Calculated Total]]=Table2[[#This Row],[Total Amount]],"Correct","Check")</f>
        <v>Correct</v>
      </c>
    </row>
    <row r="946" spans="1:11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8">
        <v>25</v>
      </c>
      <c r="I946" s="8">
        <v>25</v>
      </c>
      <c r="J946">
        <f t="shared" si="14"/>
        <v>25</v>
      </c>
      <c r="K946" t="str">
        <f>IF(Table2[[#This Row],[Calculated Total]]=Table2[[#This Row],[Total Amount]],"Correct","Check")</f>
        <v>Correct</v>
      </c>
    </row>
    <row r="947" spans="1:11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8">
        <v>500</v>
      </c>
      <c r="I947" s="8">
        <v>2000</v>
      </c>
      <c r="J947">
        <f t="shared" si="14"/>
        <v>2000</v>
      </c>
      <c r="K947" t="str">
        <f>IF(Table2[[#This Row],[Calculated Total]]=Table2[[#This Row],[Total Amount]],"Correct","Check")</f>
        <v>Correct</v>
      </c>
    </row>
    <row r="948" spans="1:11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8">
        <v>300</v>
      </c>
      <c r="I948" s="8">
        <v>300</v>
      </c>
      <c r="J948">
        <f t="shared" si="14"/>
        <v>300</v>
      </c>
      <c r="K948" t="str">
        <f>IF(Table2[[#This Row],[Calculated Total]]=Table2[[#This Row],[Total Amount]],"Correct","Check")</f>
        <v>Correct</v>
      </c>
    </row>
    <row r="949" spans="1:11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8">
        <v>25</v>
      </c>
      <c r="I949" s="8">
        <v>75</v>
      </c>
      <c r="J949">
        <f t="shared" si="14"/>
        <v>75</v>
      </c>
      <c r="K949" t="str">
        <f>IF(Table2[[#This Row],[Calculated Total]]=Table2[[#This Row],[Total Amount]],"Correct","Check")</f>
        <v>Correct</v>
      </c>
    </row>
    <row r="950" spans="1:11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8">
        <v>25</v>
      </c>
      <c r="I950" s="8">
        <v>50</v>
      </c>
      <c r="J950">
        <f t="shared" si="14"/>
        <v>50</v>
      </c>
      <c r="K950" t="str">
        <f>IF(Table2[[#This Row],[Calculated Total]]=Table2[[#This Row],[Total Amount]],"Correct","Check")</f>
        <v>Correct</v>
      </c>
    </row>
    <row r="951" spans="1:11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8">
        <v>300</v>
      </c>
      <c r="I951" s="8">
        <v>900</v>
      </c>
      <c r="J951">
        <f t="shared" si="14"/>
        <v>900</v>
      </c>
      <c r="K951" t="str">
        <f>IF(Table2[[#This Row],[Calculated Total]]=Table2[[#This Row],[Total Amount]],"Correct","Check")</f>
        <v>Correct</v>
      </c>
    </row>
    <row r="952" spans="1:11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8">
        <v>50</v>
      </c>
      <c r="I952" s="8">
        <v>100</v>
      </c>
      <c r="J952">
        <f t="shared" si="14"/>
        <v>100</v>
      </c>
      <c r="K952" t="str">
        <f>IF(Table2[[#This Row],[Calculated Total]]=Table2[[#This Row],[Total Amount]],"Correct","Check")</f>
        <v>Correct</v>
      </c>
    </row>
    <row r="953" spans="1:11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8">
        <v>25</v>
      </c>
      <c r="I953" s="8">
        <v>25</v>
      </c>
      <c r="J953">
        <f t="shared" si="14"/>
        <v>25</v>
      </c>
      <c r="K953" t="str">
        <f>IF(Table2[[#This Row],[Calculated Total]]=Table2[[#This Row],[Total Amount]],"Correct","Check")</f>
        <v>Correct</v>
      </c>
    </row>
    <row r="954" spans="1:11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8">
        <v>30</v>
      </c>
      <c r="I954" s="8">
        <v>90</v>
      </c>
      <c r="J954">
        <f t="shared" si="14"/>
        <v>90</v>
      </c>
      <c r="K954" t="str">
        <f>IF(Table2[[#This Row],[Calculated Total]]=Table2[[#This Row],[Total Amount]],"Correct","Check")</f>
        <v>Correct</v>
      </c>
    </row>
    <row r="955" spans="1:11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8">
        <v>300</v>
      </c>
      <c r="I955" s="8">
        <v>900</v>
      </c>
      <c r="J955">
        <f t="shared" si="14"/>
        <v>900</v>
      </c>
      <c r="K955" t="str">
        <f>IF(Table2[[#This Row],[Calculated Total]]=Table2[[#This Row],[Total Amount]],"Correct","Check")</f>
        <v>Correct</v>
      </c>
    </row>
    <row r="956" spans="1:11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8">
        <v>25</v>
      </c>
      <c r="I956" s="8">
        <v>25</v>
      </c>
      <c r="J956">
        <f t="shared" si="14"/>
        <v>25</v>
      </c>
      <c r="K956" t="str">
        <f>IF(Table2[[#This Row],[Calculated Total]]=Table2[[#This Row],[Total Amount]],"Correct","Check")</f>
        <v>Correct</v>
      </c>
    </row>
    <row r="957" spans="1:11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8">
        <v>500</v>
      </c>
      <c r="I957" s="8">
        <v>1500</v>
      </c>
      <c r="J957">
        <f t="shared" si="14"/>
        <v>1500</v>
      </c>
      <c r="K957" t="str">
        <f>IF(Table2[[#This Row],[Calculated Total]]=Table2[[#This Row],[Total Amount]],"Correct","Check")</f>
        <v>Correct</v>
      </c>
    </row>
    <row r="958" spans="1:11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8">
        <v>30</v>
      </c>
      <c r="I958" s="8">
        <v>120</v>
      </c>
      <c r="J958">
        <f t="shared" si="14"/>
        <v>120</v>
      </c>
      <c r="K958" t="str">
        <f>IF(Table2[[#This Row],[Calculated Total]]=Table2[[#This Row],[Total Amount]],"Correct","Check")</f>
        <v>Correct</v>
      </c>
    </row>
    <row r="959" spans="1:11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8">
        <v>25</v>
      </c>
      <c r="I959" s="8">
        <v>50</v>
      </c>
      <c r="J959">
        <f t="shared" si="14"/>
        <v>50</v>
      </c>
      <c r="K959" t="str">
        <f>IF(Table2[[#This Row],[Calculated Total]]=Table2[[#This Row],[Total Amount]],"Correct","Check")</f>
        <v>Correct</v>
      </c>
    </row>
    <row r="960" spans="1:11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8">
        <v>30</v>
      </c>
      <c r="I960" s="8">
        <v>60</v>
      </c>
      <c r="J960">
        <f t="shared" si="14"/>
        <v>60</v>
      </c>
      <c r="K960" t="str">
        <f>IF(Table2[[#This Row],[Calculated Total]]=Table2[[#This Row],[Total Amount]],"Correct","Check")</f>
        <v>Correct</v>
      </c>
    </row>
    <row r="961" spans="1:11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8">
        <v>30</v>
      </c>
      <c r="I961" s="8">
        <v>60</v>
      </c>
      <c r="J961">
        <f t="shared" si="14"/>
        <v>60</v>
      </c>
      <c r="K961" t="str">
        <f>IF(Table2[[#This Row],[Calculated Total]]=Table2[[#This Row],[Total Amount]],"Correct","Check")</f>
        <v>Correct</v>
      </c>
    </row>
    <row r="962" spans="1:11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8">
        <v>50</v>
      </c>
      <c r="I962" s="8">
        <v>200</v>
      </c>
      <c r="J962">
        <f t="shared" ref="J962:J1001" si="15">G:G*H:H</f>
        <v>200</v>
      </c>
      <c r="K962" t="str">
        <f>IF(Table2[[#This Row],[Calculated Total]]=Table2[[#This Row],[Total Amount]],"Correct","Check")</f>
        <v>Correct</v>
      </c>
    </row>
    <row r="963" spans="1:11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8">
        <v>30</v>
      </c>
      <c r="I963" s="8">
        <v>60</v>
      </c>
      <c r="J963">
        <f t="shared" si="15"/>
        <v>60</v>
      </c>
      <c r="K963" t="str">
        <f>IF(Table2[[#This Row],[Calculated Total]]=Table2[[#This Row],[Total Amount]],"Correct","Check")</f>
        <v>Correct</v>
      </c>
    </row>
    <row r="964" spans="1:11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8">
        <v>50</v>
      </c>
      <c r="I964" s="8">
        <v>50</v>
      </c>
      <c r="J964">
        <f t="shared" si="15"/>
        <v>50</v>
      </c>
      <c r="K964" t="str">
        <f>IF(Table2[[#This Row],[Calculated Total]]=Table2[[#This Row],[Total Amount]],"Correct","Check")</f>
        <v>Correct</v>
      </c>
    </row>
    <row r="965" spans="1:11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8">
        <v>300</v>
      </c>
      <c r="I965" s="8">
        <v>900</v>
      </c>
      <c r="J965">
        <f t="shared" si="15"/>
        <v>900</v>
      </c>
      <c r="K965" t="str">
        <f>IF(Table2[[#This Row],[Calculated Total]]=Table2[[#This Row],[Total Amount]],"Correct","Check")</f>
        <v>Correct</v>
      </c>
    </row>
    <row r="966" spans="1:11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8">
        <v>50</v>
      </c>
      <c r="I966" s="8">
        <v>200</v>
      </c>
      <c r="J966">
        <f t="shared" si="15"/>
        <v>200</v>
      </c>
      <c r="K966" t="str">
        <f>IF(Table2[[#This Row],[Calculated Total]]=Table2[[#This Row],[Total Amount]],"Correct","Check")</f>
        <v>Correct</v>
      </c>
    </row>
    <row r="967" spans="1:11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8">
        <v>500</v>
      </c>
      <c r="I967" s="8">
        <v>1000</v>
      </c>
      <c r="J967">
        <f t="shared" si="15"/>
        <v>1000</v>
      </c>
      <c r="K967" t="str">
        <f>IF(Table2[[#This Row],[Calculated Total]]=Table2[[#This Row],[Total Amount]],"Correct","Check")</f>
        <v>Correct</v>
      </c>
    </row>
    <row r="968" spans="1:11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8">
        <v>25</v>
      </c>
      <c r="I968" s="8">
        <v>25</v>
      </c>
      <c r="J968">
        <f t="shared" si="15"/>
        <v>25</v>
      </c>
      <c r="K968" t="str">
        <f>IF(Table2[[#This Row],[Calculated Total]]=Table2[[#This Row],[Total Amount]],"Correct","Check")</f>
        <v>Correct</v>
      </c>
    </row>
    <row r="969" spans="1:11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8">
        <v>300</v>
      </c>
      <c r="I969" s="8">
        <v>900</v>
      </c>
      <c r="J969">
        <f t="shared" si="15"/>
        <v>900</v>
      </c>
      <c r="K969" t="str">
        <f>IF(Table2[[#This Row],[Calculated Total]]=Table2[[#This Row],[Total Amount]],"Correct","Check")</f>
        <v>Correct</v>
      </c>
    </row>
    <row r="970" spans="1:11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8">
        <v>300</v>
      </c>
      <c r="I970" s="8">
        <v>900</v>
      </c>
      <c r="J970">
        <f t="shared" si="15"/>
        <v>900</v>
      </c>
      <c r="K970" t="str">
        <f>IF(Table2[[#This Row],[Calculated Total]]=Table2[[#This Row],[Total Amount]],"Correct","Check")</f>
        <v>Correct</v>
      </c>
    </row>
    <row r="971" spans="1:11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8">
        <v>500</v>
      </c>
      <c r="I971" s="8">
        <v>2000</v>
      </c>
      <c r="J971">
        <f t="shared" si="15"/>
        <v>2000</v>
      </c>
      <c r="K971" t="str">
        <f>IF(Table2[[#This Row],[Calculated Total]]=Table2[[#This Row],[Total Amount]],"Correct","Check")</f>
        <v>Correct</v>
      </c>
    </row>
    <row r="972" spans="1:11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8">
        <v>50</v>
      </c>
      <c r="I972" s="8">
        <v>200</v>
      </c>
      <c r="J972">
        <f t="shared" si="15"/>
        <v>200</v>
      </c>
      <c r="K972" t="str">
        <f>IF(Table2[[#This Row],[Calculated Total]]=Table2[[#This Row],[Total Amount]],"Correct","Check")</f>
        <v>Correct</v>
      </c>
    </row>
    <row r="973" spans="1:11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8">
        <v>25</v>
      </c>
      <c r="I973" s="8">
        <v>100</v>
      </c>
      <c r="J973">
        <f t="shared" si="15"/>
        <v>100</v>
      </c>
      <c r="K973" t="str">
        <f>IF(Table2[[#This Row],[Calculated Total]]=Table2[[#This Row],[Total Amount]],"Correct","Check")</f>
        <v>Correct</v>
      </c>
    </row>
    <row r="974" spans="1:11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8">
        <v>50</v>
      </c>
      <c r="I974" s="8">
        <v>50</v>
      </c>
      <c r="J974">
        <f t="shared" si="15"/>
        <v>50</v>
      </c>
      <c r="K974" t="str">
        <f>IF(Table2[[#This Row],[Calculated Total]]=Table2[[#This Row],[Total Amount]],"Correct","Check")</f>
        <v>Correct</v>
      </c>
    </row>
    <row r="975" spans="1:11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8">
        <v>30</v>
      </c>
      <c r="I975" s="8">
        <v>30</v>
      </c>
      <c r="J975">
        <f t="shared" si="15"/>
        <v>30</v>
      </c>
      <c r="K975" t="str">
        <f>IF(Table2[[#This Row],[Calculated Total]]=Table2[[#This Row],[Total Amount]],"Correct","Check")</f>
        <v>Correct</v>
      </c>
    </row>
    <row r="976" spans="1:11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8">
        <v>50</v>
      </c>
      <c r="I976" s="8">
        <v>200</v>
      </c>
      <c r="J976">
        <f t="shared" si="15"/>
        <v>200</v>
      </c>
      <c r="K976" t="str">
        <f>IF(Table2[[#This Row],[Calculated Total]]=Table2[[#This Row],[Total Amount]],"Correct","Check")</f>
        <v>Correct</v>
      </c>
    </row>
    <row r="977" spans="1:11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8">
        <v>300</v>
      </c>
      <c r="I977" s="8">
        <v>600</v>
      </c>
      <c r="J977">
        <f t="shared" si="15"/>
        <v>600</v>
      </c>
      <c r="K977" t="str">
        <f>IF(Table2[[#This Row],[Calculated Total]]=Table2[[#This Row],[Total Amount]],"Correct","Check")</f>
        <v>Correct</v>
      </c>
    </row>
    <row r="978" spans="1:11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8">
        <v>25</v>
      </c>
      <c r="I978" s="8">
        <v>75</v>
      </c>
      <c r="J978">
        <f t="shared" si="15"/>
        <v>75</v>
      </c>
      <c r="K978" t="str">
        <f>IF(Table2[[#This Row],[Calculated Total]]=Table2[[#This Row],[Total Amount]],"Correct","Check")</f>
        <v>Correct</v>
      </c>
    </row>
    <row r="979" spans="1:11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8">
        <v>50</v>
      </c>
      <c r="I979" s="8">
        <v>150</v>
      </c>
      <c r="J979">
        <f t="shared" si="15"/>
        <v>150</v>
      </c>
      <c r="K979" t="str">
        <f>IF(Table2[[#This Row],[Calculated Total]]=Table2[[#This Row],[Total Amount]],"Correct","Check")</f>
        <v>Correct</v>
      </c>
    </row>
    <row r="980" spans="1:11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8">
        <v>25</v>
      </c>
      <c r="I980" s="8">
        <v>25</v>
      </c>
      <c r="J980">
        <f t="shared" si="15"/>
        <v>25</v>
      </c>
      <c r="K980" t="str">
        <f>IF(Table2[[#This Row],[Calculated Total]]=Table2[[#This Row],[Total Amount]],"Correct","Check")</f>
        <v>Correct</v>
      </c>
    </row>
    <row r="981" spans="1:11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8">
        <v>25</v>
      </c>
      <c r="I981" s="8">
        <v>75</v>
      </c>
      <c r="J981">
        <f t="shared" si="15"/>
        <v>75</v>
      </c>
      <c r="K981" t="str">
        <f>IF(Table2[[#This Row],[Calculated Total]]=Table2[[#This Row],[Total Amount]],"Correct","Check")</f>
        <v>Correct</v>
      </c>
    </row>
    <row r="982" spans="1:11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8">
        <v>30</v>
      </c>
      <c r="I982" s="8">
        <v>60</v>
      </c>
      <c r="J982">
        <f t="shared" si="15"/>
        <v>60</v>
      </c>
      <c r="K982" t="str">
        <f>IF(Table2[[#This Row],[Calculated Total]]=Table2[[#This Row],[Total Amount]],"Correct","Check")</f>
        <v>Correct</v>
      </c>
    </row>
    <row r="983" spans="1:11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8">
        <v>30</v>
      </c>
      <c r="I983" s="8">
        <v>90</v>
      </c>
      <c r="J983">
        <f t="shared" si="15"/>
        <v>90</v>
      </c>
      <c r="K983" t="str">
        <f>IF(Table2[[#This Row],[Calculated Total]]=Table2[[#This Row],[Total Amount]],"Correct","Check")</f>
        <v>Correct</v>
      </c>
    </row>
    <row r="984" spans="1:11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8">
        <v>300</v>
      </c>
      <c r="I984" s="8">
        <v>300</v>
      </c>
      <c r="J984">
        <f t="shared" si="15"/>
        <v>300</v>
      </c>
      <c r="K984" t="str">
        <f>IF(Table2[[#This Row],[Calculated Total]]=Table2[[#This Row],[Total Amount]],"Correct","Check")</f>
        <v>Correct</v>
      </c>
    </row>
    <row r="985" spans="1:11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8">
        <v>500</v>
      </c>
      <c r="I985" s="8">
        <v>500</v>
      </c>
      <c r="J985">
        <f t="shared" si="15"/>
        <v>500</v>
      </c>
      <c r="K985" t="str">
        <f>IF(Table2[[#This Row],[Calculated Total]]=Table2[[#This Row],[Total Amount]],"Correct","Check")</f>
        <v>Correct</v>
      </c>
    </row>
    <row r="986" spans="1:11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8">
        <v>25</v>
      </c>
      <c r="I986" s="8">
        <v>50</v>
      </c>
      <c r="J986">
        <f t="shared" si="15"/>
        <v>50</v>
      </c>
      <c r="K986" t="str">
        <f>IF(Table2[[#This Row],[Calculated Total]]=Table2[[#This Row],[Total Amount]],"Correct","Check")</f>
        <v>Correct</v>
      </c>
    </row>
    <row r="987" spans="1:11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8">
        <v>500</v>
      </c>
      <c r="I987" s="8">
        <v>1000</v>
      </c>
      <c r="J987">
        <f t="shared" si="15"/>
        <v>1000</v>
      </c>
      <c r="K987" t="str">
        <f>IF(Table2[[#This Row],[Calculated Total]]=Table2[[#This Row],[Total Amount]],"Correct","Check")</f>
        <v>Correct</v>
      </c>
    </row>
    <row r="988" spans="1:11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8">
        <v>300</v>
      </c>
      <c r="I988" s="8">
        <v>900</v>
      </c>
      <c r="J988">
        <f t="shared" si="15"/>
        <v>900</v>
      </c>
      <c r="K988" t="str">
        <f>IF(Table2[[#This Row],[Calculated Total]]=Table2[[#This Row],[Total Amount]],"Correct","Check")</f>
        <v>Correct</v>
      </c>
    </row>
    <row r="989" spans="1:11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8">
        <v>25</v>
      </c>
      <c r="I989" s="8">
        <v>75</v>
      </c>
      <c r="J989">
        <f t="shared" si="15"/>
        <v>75</v>
      </c>
      <c r="K989" t="str">
        <f>IF(Table2[[#This Row],[Calculated Total]]=Table2[[#This Row],[Total Amount]],"Correct","Check")</f>
        <v>Correct</v>
      </c>
    </row>
    <row r="990" spans="1:11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8">
        <v>25</v>
      </c>
      <c r="I990" s="8">
        <v>25</v>
      </c>
      <c r="J990">
        <f t="shared" si="15"/>
        <v>25</v>
      </c>
      <c r="K990" t="str">
        <f>IF(Table2[[#This Row],[Calculated Total]]=Table2[[#This Row],[Total Amount]],"Correct","Check")</f>
        <v>Correct</v>
      </c>
    </row>
    <row r="991" spans="1:11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8">
        <v>500</v>
      </c>
      <c r="I991" s="8">
        <v>1000</v>
      </c>
      <c r="J991">
        <f t="shared" si="15"/>
        <v>1000</v>
      </c>
      <c r="K991" t="str">
        <f>IF(Table2[[#This Row],[Calculated Total]]=Table2[[#This Row],[Total Amount]],"Correct","Check")</f>
        <v>Correct</v>
      </c>
    </row>
    <row r="992" spans="1:11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8">
        <v>50</v>
      </c>
      <c r="I992" s="8">
        <v>100</v>
      </c>
      <c r="J992">
        <f t="shared" si="15"/>
        <v>100</v>
      </c>
      <c r="K992" t="str">
        <f>IF(Table2[[#This Row],[Calculated Total]]=Table2[[#This Row],[Total Amount]],"Correct","Check")</f>
        <v>Correct</v>
      </c>
    </row>
    <row r="993" spans="1:11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8">
        <v>30</v>
      </c>
      <c r="I993" s="8">
        <v>60</v>
      </c>
      <c r="J993">
        <f t="shared" si="15"/>
        <v>60</v>
      </c>
      <c r="K993" t="str">
        <f>IF(Table2[[#This Row],[Calculated Total]]=Table2[[#This Row],[Total Amount]],"Correct","Check")</f>
        <v>Correct</v>
      </c>
    </row>
    <row r="994" spans="1:11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8">
        <v>50</v>
      </c>
      <c r="I994" s="8">
        <v>150</v>
      </c>
      <c r="J994">
        <f t="shared" si="15"/>
        <v>150</v>
      </c>
      <c r="K994" t="str">
        <f>IF(Table2[[#This Row],[Calculated Total]]=Table2[[#This Row],[Total Amount]],"Correct","Check")</f>
        <v>Correct</v>
      </c>
    </row>
    <row r="995" spans="1:11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8">
        <v>500</v>
      </c>
      <c r="I995" s="8">
        <v>1000</v>
      </c>
      <c r="J995">
        <f t="shared" si="15"/>
        <v>1000</v>
      </c>
      <c r="K995" t="str">
        <f>IF(Table2[[#This Row],[Calculated Total]]=Table2[[#This Row],[Total Amount]],"Correct","Check")</f>
        <v>Correct</v>
      </c>
    </row>
    <row r="996" spans="1:11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8">
        <v>30</v>
      </c>
      <c r="I996" s="8">
        <v>30</v>
      </c>
      <c r="J996">
        <f t="shared" si="15"/>
        <v>30</v>
      </c>
      <c r="K996" t="str">
        <f>IF(Table2[[#This Row],[Calculated Total]]=Table2[[#This Row],[Total Amount]],"Correct","Check")</f>
        <v>Correct</v>
      </c>
    </row>
    <row r="997" spans="1:11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8">
        <v>50</v>
      </c>
      <c r="I997" s="8">
        <v>50</v>
      </c>
      <c r="J997">
        <f t="shared" si="15"/>
        <v>50</v>
      </c>
      <c r="K997" t="str">
        <f>IF(Table2[[#This Row],[Calculated Total]]=Table2[[#This Row],[Total Amount]],"Correct","Check")</f>
        <v>Correct</v>
      </c>
    </row>
    <row r="998" spans="1:11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8">
        <v>30</v>
      </c>
      <c r="I998" s="8">
        <v>90</v>
      </c>
      <c r="J998">
        <f t="shared" si="15"/>
        <v>90</v>
      </c>
      <c r="K998" t="str">
        <f>IF(Table2[[#This Row],[Calculated Total]]=Table2[[#This Row],[Total Amount]],"Correct","Check")</f>
        <v>Correct</v>
      </c>
    </row>
    <row r="999" spans="1:11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8">
        <v>25</v>
      </c>
      <c r="I999" s="8">
        <v>100</v>
      </c>
      <c r="J999">
        <f t="shared" si="15"/>
        <v>100</v>
      </c>
      <c r="K999" t="str">
        <f>IF(Table2[[#This Row],[Calculated Total]]=Table2[[#This Row],[Total Amount]],"Correct","Check")</f>
        <v>Correct</v>
      </c>
    </row>
    <row r="1000" spans="1:11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8">
        <v>50</v>
      </c>
      <c r="I1000" s="8">
        <v>150</v>
      </c>
      <c r="J1000">
        <f t="shared" si="15"/>
        <v>150</v>
      </c>
      <c r="K1000" t="str">
        <f>IF(Table2[[#This Row],[Calculated Total]]=Table2[[#This Row],[Total Amount]],"Correct","Check")</f>
        <v>Correct</v>
      </c>
    </row>
    <row r="1001" spans="1:11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8">
        <v>30</v>
      </c>
      <c r="I1001" s="8">
        <v>120</v>
      </c>
      <c r="J1001">
        <f t="shared" si="15"/>
        <v>120</v>
      </c>
      <c r="K1001" t="str">
        <f>IF(Table2[[#This Row],[Calculated Total]]=Table2[[#This Row],[Total Amount]],"Correct","Check")</f>
        <v>Correct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E12"/>
  <sheetViews>
    <sheetView workbookViewId="0">
      <selection activeCell="E10" sqref="E10"/>
    </sheetView>
  </sheetViews>
  <sheetFormatPr defaultRowHeight="15" x14ac:dyDescent="0.25"/>
  <cols>
    <col min="4" max="4" width="24.28515625" bestFit="1" customWidth="1"/>
    <col min="5" max="5" width="13" customWidth="1"/>
  </cols>
  <sheetData>
    <row r="6" spans="4:5" x14ac:dyDescent="0.25">
      <c r="D6" s="17" t="s">
        <v>1080</v>
      </c>
      <c r="E6" s="17" t="s">
        <v>1081</v>
      </c>
    </row>
    <row r="7" spans="4:5" x14ac:dyDescent="0.25">
      <c r="D7" s="4" t="s">
        <v>1050</v>
      </c>
      <c r="E7" s="16">
        <f>SUM('Part 02_Cleaned Data'!I2:I1001)</f>
        <v>456000</v>
      </c>
    </row>
    <row r="8" spans="4:5" x14ac:dyDescent="0.25">
      <c r="D8" s="4" t="s">
        <v>1077</v>
      </c>
      <c r="E8" s="4">
        <f>COUNT('Part 02_Cleaned Data'!A2:A1001)</f>
        <v>1000</v>
      </c>
    </row>
    <row r="9" spans="4:5" x14ac:dyDescent="0.25">
      <c r="D9" s="4" t="s">
        <v>1076</v>
      </c>
      <c r="E9" s="16">
        <f>AVERAGE('Part 02_Cleaned Data'!I2:I1001)</f>
        <v>456</v>
      </c>
    </row>
    <row r="10" spans="4:5" x14ac:dyDescent="0.25">
      <c r="D10" s="4" t="s">
        <v>1052</v>
      </c>
      <c r="E10" s="16">
        <f>SUM('Part 02_Cleaned Data'!G2:G1001)</f>
        <v>2514</v>
      </c>
    </row>
    <row r="11" spans="4:5" x14ac:dyDescent="0.25">
      <c r="D11" s="4" t="s">
        <v>1078</v>
      </c>
      <c r="E11" s="16">
        <f>MAX('Part 02_Cleaned Data'!I2:I1001)</f>
        <v>2000</v>
      </c>
    </row>
    <row r="12" spans="4:5" x14ac:dyDescent="0.25">
      <c r="D12" s="4" t="s">
        <v>1079</v>
      </c>
      <c r="E12" s="16">
        <f>MIN('Part 02_Cleaned Data'!I2:I1001)</f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O17"/>
  <sheetViews>
    <sheetView tabSelected="1" zoomScale="75" zoomScaleNormal="75" workbookViewId="0">
      <selection activeCell="L22" sqref="L22"/>
    </sheetView>
  </sheetViews>
  <sheetFormatPr defaultRowHeight="15" x14ac:dyDescent="0.25"/>
  <cols>
    <col min="2" max="2" width="18.5703125" bestFit="1" customWidth="1"/>
    <col min="3" max="3" width="19.85546875" bestFit="1" customWidth="1"/>
    <col min="6" max="6" width="13.140625" bestFit="1" customWidth="1"/>
    <col min="7" max="7" width="19.85546875" bestFit="1" customWidth="1"/>
    <col min="10" max="10" width="18.5703125" bestFit="1" customWidth="1"/>
    <col min="11" max="11" width="15.42578125" bestFit="1" customWidth="1"/>
    <col min="14" max="14" width="18.5703125" bestFit="1" customWidth="1"/>
    <col min="15" max="15" width="14.5703125" bestFit="1" customWidth="1"/>
  </cols>
  <sheetData>
    <row r="6" spans="2:15" x14ac:dyDescent="0.25">
      <c r="B6" s="21" t="s">
        <v>1072</v>
      </c>
      <c r="C6" s="21"/>
      <c r="F6" s="21" t="s">
        <v>1073</v>
      </c>
      <c r="G6" s="21"/>
      <c r="J6" s="21" t="s">
        <v>1074</v>
      </c>
      <c r="K6" s="21"/>
      <c r="N6" s="21" t="s">
        <v>1075</v>
      </c>
      <c r="O6" s="21"/>
    </row>
    <row r="7" spans="2:15" x14ac:dyDescent="0.25">
      <c r="B7" s="15" t="s">
        <v>5</v>
      </c>
      <c r="C7" s="4" t="s">
        <v>1070</v>
      </c>
      <c r="F7" s="15" t="s">
        <v>3</v>
      </c>
      <c r="G7" s="4" t="s">
        <v>1070</v>
      </c>
      <c r="J7" s="15" t="s">
        <v>5</v>
      </c>
      <c r="K7" s="4" t="s">
        <v>1069</v>
      </c>
      <c r="N7" s="15" t="s">
        <v>5</v>
      </c>
      <c r="O7" s="4" t="s">
        <v>1071</v>
      </c>
    </row>
    <row r="8" spans="2:15" x14ac:dyDescent="0.25">
      <c r="B8" s="12" t="s">
        <v>11</v>
      </c>
      <c r="C8" s="14">
        <v>143515</v>
      </c>
      <c r="F8" s="12" t="s">
        <v>13</v>
      </c>
      <c r="G8" s="14">
        <v>232840</v>
      </c>
      <c r="J8" s="12" t="s">
        <v>11</v>
      </c>
      <c r="K8" s="14">
        <v>771</v>
      </c>
      <c r="N8" s="12" t="s">
        <v>11</v>
      </c>
      <c r="O8" s="16">
        <v>40.371335504885991</v>
      </c>
    </row>
    <row r="9" spans="2:15" x14ac:dyDescent="0.25">
      <c r="B9" s="12" t="s">
        <v>14</v>
      </c>
      <c r="C9" s="14">
        <v>155580</v>
      </c>
      <c r="F9" s="12" t="s">
        <v>10</v>
      </c>
      <c r="G9" s="14">
        <v>223160</v>
      </c>
      <c r="J9" s="12" t="s">
        <v>14</v>
      </c>
      <c r="K9" s="14">
        <v>894</v>
      </c>
      <c r="N9" s="12" t="s">
        <v>14</v>
      </c>
      <c r="O9" s="16">
        <v>41.948717948717949</v>
      </c>
    </row>
    <row r="10" spans="2:15" x14ac:dyDescent="0.25">
      <c r="B10" s="12" t="s">
        <v>16</v>
      </c>
      <c r="C10" s="14">
        <v>156905</v>
      </c>
      <c r="F10" s="12" t="s">
        <v>1068</v>
      </c>
      <c r="G10" s="14">
        <v>456000</v>
      </c>
      <c r="J10" s="12" t="s">
        <v>16</v>
      </c>
      <c r="K10" s="14">
        <v>849</v>
      </c>
      <c r="N10" s="12" t="s">
        <v>16</v>
      </c>
      <c r="O10" s="16">
        <v>41.736842105263158</v>
      </c>
    </row>
    <row r="11" spans="2:15" x14ac:dyDescent="0.25">
      <c r="B11" s="12" t="s">
        <v>1068</v>
      </c>
      <c r="C11" s="14">
        <v>456000</v>
      </c>
      <c r="J11" s="12" t="s">
        <v>1068</v>
      </c>
      <c r="K11" s="14">
        <v>2514</v>
      </c>
      <c r="N11" s="12" t="s">
        <v>1068</v>
      </c>
      <c r="O11" s="16">
        <v>41.392000000000003</v>
      </c>
    </row>
    <row r="17" spans="7:7" x14ac:dyDescent="0.25">
      <c r="G17" s="13"/>
    </row>
  </sheetData>
  <mergeCells count="4">
    <mergeCell ref="B6:C6"/>
    <mergeCell ref="F6:G6"/>
    <mergeCell ref="J6:K6"/>
    <mergeCell ref="N6:O6"/>
  </mergeCells>
  <pageMargins left="0.7" right="0.7" top="0.75" bottom="0.75" header="0.3" footer="0.3"/>
  <pageSetup orientation="portrait" horizontalDpi="1200" verticalDpi="12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workbookViewId="0">
      <selection activeCell="B15" sqref="B15:D15"/>
    </sheetView>
  </sheetViews>
  <sheetFormatPr defaultRowHeight="15" x14ac:dyDescent="0.25"/>
  <cols>
    <col min="12" max="12" width="10.5703125" bestFit="1" customWidth="1"/>
    <col min="13" max="13" width="9.42578125" customWidth="1"/>
  </cols>
  <sheetData>
    <row r="2" spans="2:15" x14ac:dyDescent="0.25">
      <c r="B2" s="19" t="s">
        <v>1035</v>
      </c>
      <c r="C2" s="19"/>
      <c r="D2" s="19"/>
      <c r="F2" s="19" t="s">
        <v>1041</v>
      </c>
      <c r="G2" s="19"/>
      <c r="H2" s="19"/>
      <c r="L2" s="23" t="s">
        <v>1049</v>
      </c>
      <c r="M2" s="23"/>
      <c r="N2" s="23"/>
      <c r="O2" s="23"/>
    </row>
    <row r="3" spans="2:15" x14ac:dyDescent="0.25">
      <c r="B3" s="22">
        <f>SUM('Part 02_Cleaned Data'!I:I)</f>
        <v>456000</v>
      </c>
      <c r="C3" s="19"/>
      <c r="D3" s="19"/>
      <c r="F3" s="19">
        <f>MIN('Part 02_Cleaned Data'!E:E)</f>
        <v>18</v>
      </c>
      <c r="G3" s="19"/>
      <c r="H3" s="19"/>
      <c r="L3" s="21" t="s">
        <v>5</v>
      </c>
      <c r="M3" s="21"/>
      <c r="N3" s="21" t="s">
        <v>1050</v>
      </c>
      <c r="O3" s="21"/>
    </row>
    <row r="4" spans="2:15" ht="15.75" customHeight="1" x14ac:dyDescent="0.25">
      <c r="L4" s="19" t="s">
        <v>11</v>
      </c>
      <c r="M4" s="19"/>
      <c r="N4" s="24">
        <f>SUMIF('Part 02_Cleaned Data'!$F:$F, "Beauty", 'Part 02_Cleaned Data'!$I:$I)</f>
        <v>143515</v>
      </c>
      <c r="O4" s="24"/>
    </row>
    <row r="5" spans="2:15" x14ac:dyDescent="0.25">
      <c r="B5" s="19" t="s">
        <v>1036</v>
      </c>
      <c r="C5" s="19"/>
      <c r="D5" s="19"/>
      <c r="F5" s="19" t="s">
        <v>1042</v>
      </c>
      <c r="G5" s="19"/>
      <c r="H5" s="19"/>
      <c r="L5" s="19" t="s">
        <v>14</v>
      </c>
      <c r="M5" s="19"/>
      <c r="N5" s="24">
        <f>SUMIF('Part 02_Cleaned Data'!$F:$F, "Clothing", 'Part 02_Cleaned Data'!$I:$I)</f>
        <v>155580</v>
      </c>
      <c r="O5" s="24"/>
    </row>
    <row r="6" spans="2:15" x14ac:dyDescent="0.25">
      <c r="B6" s="22">
        <f>AVERAGE('Part 02_Cleaned Data'!I:I)</f>
        <v>456</v>
      </c>
      <c r="C6" s="19"/>
      <c r="D6" s="19"/>
      <c r="F6" s="19">
        <f>MAX('Part 02_Cleaned Data'!E:E)</f>
        <v>64</v>
      </c>
      <c r="G6" s="19"/>
      <c r="H6" s="19"/>
      <c r="L6" s="19" t="s">
        <v>16</v>
      </c>
      <c r="M6" s="19"/>
      <c r="N6" s="24">
        <f>SUMIF('Part 02_Cleaned Data'!$F:$F, "Electronics", 'Part 02_Cleaned Data'!$I:$I)</f>
        <v>156905</v>
      </c>
      <c r="O6" s="24"/>
    </row>
    <row r="8" spans="2:15" x14ac:dyDescent="0.25">
      <c r="B8" s="19" t="s">
        <v>1037</v>
      </c>
      <c r="C8" s="19"/>
      <c r="D8" s="19"/>
      <c r="F8" s="19" t="s">
        <v>1043</v>
      </c>
      <c r="G8" s="19"/>
      <c r="H8" s="19"/>
      <c r="I8" s="19"/>
    </row>
    <row r="9" spans="2:15" x14ac:dyDescent="0.25">
      <c r="B9" s="22">
        <f>MIN('Part 02_Cleaned Data'!I:I)</f>
        <v>25</v>
      </c>
      <c r="C9" s="19"/>
      <c r="D9" s="19"/>
      <c r="F9" s="19">
        <f>COUNT('Part 02_Cleaned Data'!A:A)</f>
        <v>1000</v>
      </c>
      <c r="G9" s="19"/>
      <c r="H9" s="19"/>
      <c r="I9" s="19"/>
      <c r="L9" s="23" t="s">
        <v>1051</v>
      </c>
      <c r="M9" s="23"/>
      <c r="N9" s="23"/>
      <c r="O9" s="23"/>
    </row>
    <row r="10" spans="2:15" x14ac:dyDescent="0.25">
      <c r="L10" s="21" t="s">
        <v>5</v>
      </c>
      <c r="M10" s="21"/>
      <c r="N10" s="21" t="s">
        <v>1052</v>
      </c>
      <c r="O10" s="21"/>
    </row>
    <row r="11" spans="2:15" x14ac:dyDescent="0.25">
      <c r="B11" s="19" t="s">
        <v>1038</v>
      </c>
      <c r="C11" s="19"/>
      <c r="D11" s="19"/>
      <c r="F11" s="19" t="s">
        <v>1044</v>
      </c>
      <c r="G11" s="19"/>
      <c r="H11" s="19"/>
      <c r="I11" s="19"/>
      <c r="J11" s="19"/>
      <c r="L11" s="19" t="s">
        <v>11</v>
      </c>
      <c r="M11" s="19"/>
      <c r="N11" s="24">
        <f>SUMIF('Part 02_Cleaned Data'!$F:$F, "Beauty", 'Part 02_Cleaned Data'!$G:$G)</f>
        <v>771</v>
      </c>
      <c r="O11" s="24"/>
    </row>
    <row r="12" spans="2:15" x14ac:dyDescent="0.25">
      <c r="B12" s="22">
        <f>MAX('Part 02_Cleaned Data'!I:I)</f>
        <v>2000</v>
      </c>
      <c r="C12" s="19"/>
      <c r="D12" s="19"/>
      <c r="F12" s="19" t="s">
        <v>1048</v>
      </c>
      <c r="G12" s="19"/>
      <c r="H12" s="19"/>
      <c r="I12" s="19"/>
      <c r="J12" s="19"/>
      <c r="L12" s="19" t="s">
        <v>14</v>
      </c>
      <c r="M12" s="19"/>
      <c r="N12" s="24">
        <f>SUMIF('Part 02_Cleaned Data'!$F:$F, "Clothing", 'Part 02_Cleaned Data'!$G:$G)</f>
        <v>894</v>
      </c>
      <c r="O12" s="24"/>
    </row>
    <row r="13" spans="2:15" x14ac:dyDescent="0.25">
      <c r="L13" s="19" t="s">
        <v>16</v>
      </c>
      <c r="M13" s="19"/>
      <c r="N13" s="24">
        <f>SUMIF('Part 02_Cleaned Data'!$F:$F, "Electronics", 'Part 02_Cleaned Data'!$G:$G)</f>
        <v>849</v>
      </c>
      <c r="O13" s="24"/>
    </row>
    <row r="14" spans="2:15" x14ac:dyDescent="0.25">
      <c r="B14" s="20" t="s">
        <v>1039</v>
      </c>
      <c r="C14" s="19"/>
      <c r="D14" s="19"/>
    </row>
    <row r="15" spans="2:15" x14ac:dyDescent="0.25">
      <c r="B15" s="19">
        <f>SUM('Part 02_Cleaned Data'!G:G)</f>
        <v>2514</v>
      </c>
      <c r="C15" s="19"/>
      <c r="D15" s="19"/>
    </row>
    <row r="16" spans="2:15" x14ac:dyDescent="0.25">
      <c r="L16" s="23" t="s">
        <v>1053</v>
      </c>
      <c r="M16" s="23"/>
      <c r="N16" s="23"/>
      <c r="O16" s="23"/>
    </row>
    <row r="17" spans="2:15" x14ac:dyDescent="0.25">
      <c r="B17" s="19" t="s">
        <v>1040</v>
      </c>
      <c r="C17" s="19"/>
      <c r="D17" s="19"/>
      <c r="L17" s="25" t="s">
        <v>3</v>
      </c>
      <c r="M17" s="25"/>
      <c r="N17" s="25" t="s">
        <v>1050</v>
      </c>
      <c r="O17" s="25"/>
    </row>
    <row r="18" spans="2:15" x14ac:dyDescent="0.25">
      <c r="B18" s="19">
        <f>AVERAGE('Part 02_Cleaned Data'!E:E)</f>
        <v>41.392000000000003</v>
      </c>
      <c r="C18" s="19"/>
      <c r="D18" s="19"/>
      <c r="L18" s="19" t="s">
        <v>10</v>
      </c>
      <c r="M18" s="19"/>
      <c r="N18" s="24">
        <f>SUMIF('Part 02_Cleaned Data'!$D:$D, "Male", 'Part 02_Cleaned Data'!$I:$I)</f>
        <v>223160</v>
      </c>
      <c r="O18" s="24"/>
    </row>
    <row r="19" spans="2:15" x14ac:dyDescent="0.25">
      <c r="L19" s="19" t="s">
        <v>13</v>
      </c>
      <c r="M19" s="19"/>
      <c r="N19" s="24">
        <f>SUMIF('Part 02_Cleaned Data'!$D:$D, "Female", 'Part 02_Cleaned Data'!$I:$I)</f>
        <v>232840</v>
      </c>
      <c r="O19" s="24"/>
    </row>
  </sheetData>
  <mergeCells count="45">
    <mergeCell ref="L16:O16"/>
    <mergeCell ref="L17:M17"/>
    <mergeCell ref="L18:M18"/>
    <mergeCell ref="L19:M19"/>
    <mergeCell ref="N17:O17"/>
    <mergeCell ref="N18:O18"/>
    <mergeCell ref="N19:O19"/>
    <mergeCell ref="L12:M12"/>
    <mergeCell ref="L13:M13"/>
    <mergeCell ref="N11:O11"/>
    <mergeCell ref="N12:O12"/>
    <mergeCell ref="N13:O13"/>
    <mergeCell ref="L6:M6"/>
    <mergeCell ref="L9:O9"/>
    <mergeCell ref="N10:O10"/>
    <mergeCell ref="L10:M10"/>
    <mergeCell ref="L11:M11"/>
    <mergeCell ref="F9:I9"/>
    <mergeCell ref="F11:J11"/>
    <mergeCell ref="F12:J12"/>
    <mergeCell ref="L2:O2"/>
    <mergeCell ref="L3:M3"/>
    <mergeCell ref="N3:O3"/>
    <mergeCell ref="N4:O4"/>
    <mergeCell ref="N5:O5"/>
    <mergeCell ref="N6:O6"/>
    <mergeCell ref="F2:H2"/>
    <mergeCell ref="F3:H3"/>
    <mergeCell ref="F5:H5"/>
    <mergeCell ref="F6:H6"/>
    <mergeCell ref="F8:I8"/>
    <mergeCell ref="L4:M4"/>
    <mergeCell ref="L5:M5"/>
    <mergeCell ref="B18:D18"/>
    <mergeCell ref="B2:D2"/>
    <mergeCell ref="B3:D3"/>
    <mergeCell ref="B5:D5"/>
    <mergeCell ref="B6:D6"/>
    <mergeCell ref="B8:D8"/>
    <mergeCell ref="B9:D9"/>
    <mergeCell ref="B11:D11"/>
    <mergeCell ref="B12:D12"/>
    <mergeCell ref="B14:D14"/>
    <mergeCell ref="B15:D15"/>
    <mergeCell ref="B17: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F12" workbookViewId="0">
      <selection activeCell="Y14" sqref="Y14"/>
    </sheetView>
  </sheetViews>
  <sheetFormatPr defaultRowHeight="15" x14ac:dyDescent="0.25"/>
  <sheetData>
    <row r="1" spans="1:4" x14ac:dyDescent="0.25">
      <c r="A1" s="23" t="s">
        <v>1049</v>
      </c>
      <c r="B1" s="23"/>
      <c r="C1" s="23"/>
      <c r="D1" s="23"/>
    </row>
    <row r="2" spans="1:4" x14ac:dyDescent="0.25">
      <c r="A2" s="21" t="s">
        <v>5</v>
      </c>
      <c r="B2" s="21"/>
      <c r="C2" s="21" t="s">
        <v>1050</v>
      </c>
      <c r="D2" s="21"/>
    </row>
    <row r="3" spans="1:4" x14ac:dyDescent="0.25">
      <c r="A3" s="19" t="s">
        <v>11</v>
      </c>
      <c r="B3" s="19"/>
      <c r="C3" s="24">
        <f>SUMIF('Part 02_Cleaned Data'!$F:$F, "Beauty", 'Part 02_Cleaned Data'!$I:$I)</f>
        <v>143515</v>
      </c>
      <c r="D3" s="24"/>
    </row>
    <row r="4" spans="1:4" x14ac:dyDescent="0.25">
      <c r="A4" s="19" t="s">
        <v>14</v>
      </c>
      <c r="B4" s="19"/>
      <c r="C4" s="24">
        <f>SUMIF('Part 02_Cleaned Data'!$F:$F, "Clothing", 'Part 02_Cleaned Data'!$I:$I)</f>
        <v>155580</v>
      </c>
      <c r="D4" s="24"/>
    </row>
    <row r="5" spans="1:4" x14ac:dyDescent="0.25">
      <c r="A5" s="19" t="s">
        <v>16</v>
      </c>
      <c r="B5" s="19"/>
      <c r="C5" s="24">
        <f>SUMIF('Part 02_Cleaned Data'!$F:$F, "Electronics", 'Part 02_Cleaned Data'!$I:$I)</f>
        <v>156905</v>
      </c>
      <c r="D5" s="24"/>
    </row>
    <row r="8" spans="1:4" x14ac:dyDescent="0.25">
      <c r="A8" s="23" t="s">
        <v>1051</v>
      </c>
      <c r="B8" s="23"/>
      <c r="C8" s="23"/>
      <c r="D8" s="23"/>
    </row>
    <row r="9" spans="1:4" x14ac:dyDescent="0.25">
      <c r="A9" s="21" t="s">
        <v>5</v>
      </c>
      <c r="B9" s="21"/>
      <c r="C9" s="21" t="s">
        <v>1052</v>
      </c>
      <c r="D9" s="21"/>
    </row>
    <row r="10" spans="1:4" x14ac:dyDescent="0.25">
      <c r="A10" s="19" t="s">
        <v>11</v>
      </c>
      <c r="B10" s="19"/>
      <c r="C10" s="24">
        <f>SUMIF('Part 02_Cleaned Data'!$F:$F, "Beauty", 'Part 02_Cleaned Data'!$G:$G)</f>
        <v>771</v>
      </c>
      <c r="D10" s="24"/>
    </row>
    <row r="11" spans="1:4" x14ac:dyDescent="0.25">
      <c r="A11" s="19" t="s">
        <v>14</v>
      </c>
      <c r="B11" s="19"/>
      <c r="C11" s="24">
        <f>SUMIF('Part 02_Cleaned Data'!$F:$F, "Clothing", 'Part 02_Cleaned Data'!$G:$G)</f>
        <v>894</v>
      </c>
      <c r="D11" s="24"/>
    </row>
    <row r="12" spans="1:4" x14ac:dyDescent="0.25">
      <c r="A12" s="19" t="s">
        <v>16</v>
      </c>
      <c r="B12" s="19"/>
      <c r="C12" s="24">
        <f>SUMIF('Part 02_Cleaned Data'!$F:$F, "Electronics", 'Part 02_Cleaned Data'!$G:$G)</f>
        <v>849</v>
      </c>
      <c r="D12" s="24"/>
    </row>
    <row r="15" spans="1:4" x14ac:dyDescent="0.25">
      <c r="A15" s="23" t="s">
        <v>1053</v>
      </c>
      <c r="B15" s="23"/>
      <c r="C15" s="23"/>
      <c r="D15" s="23"/>
    </row>
    <row r="16" spans="1:4" x14ac:dyDescent="0.25">
      <c r="A16" s="25" t="s">
        <v>3</v>
      </c>
      <c r="B16" s="25"/>
      <c r="C16" s="25" t="s">
        <v>1050</v>
      </c>
      <c r="D16" s="25"/>
    </row>
    <row r="17" spans="1:4" x14ac:dyDescent="0.25">
      <c r="A17" s="19" t="s">
        <v>10</v>
      </c>
      <c r="B17" s="19"/>
      <c r="C17" s="24">
        <f>SUMIF('Part 02_Cleaned Data'!$D:$D, "Male", 'Part 02_Cleaned Data'!$I:$I)</f>
        <v>223160</v>
      </c>
      <c r="D17" s="24"/>
    </row>
    <row r="18" spans="1:4" x14ac:dyDescent="0.25">
      <c r="A18" s="19" t="s">
        <v>13</v>
      </c>
      <c r="B18" s="19"/>
      <c r="C18" s="24">
        <f>SUMIF('Part 02_Cleaned Data'!$D:$D, "Female", 'Part 02_Cleaned Data'!$I:$I)</f>
        <v>232840</v>
      </c>
      <c r="D18" s="24"/>
    </row>
  </sheetData>
  <mergeCells count="25">
    <mergeCell ref="A17:B17"/>
    <mergeCell ref="C17:D17"/>
    <mergeCell ref="A18:B18"/>
    <mergeCell ref="C18:D18"/>
    <mergeCell ref="A11:B11"/>
    <mergeCell ref="C11:D11"/>
    <mergeCell ref="A12:B12"/>
    <mergeCell ref="C12:D12"/>
    <mergeCell ref="A15:D15"/>
    <mergeCell ref="A16:B16"/>
    <mergeCell ref="C16:D16"/>
    <mergeCell ref="A10:B10"/>
    <mergeCell ref="C10:D10"/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8:D8"/>
    <mergeCell ref="A9:B9"/>
    <mergeCell ref="C9:D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31"/>
  <sheetViews>
    <sheetView topLeftCell="A3" workbookViewId="0">
      <selection activeCell="D32" sqref="D32"/>
    </sheetView>
  </sheetViews>
  <sheetFormatPr defaultRowHeight="15" x14ac:dyDescent="0.25"/>
  <sheetData>
    <row r="3" spans="4:10" x14ac:dyDescent="0.25">
      <c r="D3" s="26" t="s">
        <v>1045</v>
      </c>
      <c r="E3" s="27"/>
      <c r="F3" s="27"/>
      <c r="G3" s="27"/>
      <c r="H3" s="27"/>
    </row>
    <row r="4" spans="4:10" x14ac:dyDescent="0.25">
      <c r="D4" s="27"/>
      <c r="E4" s="27"/>
      <c r="F4" s="27"/>
      <c r="G4" s="27"/>
      <c r="H4" s="27"/>
    </row>
    <row r="11" spans="4:10" x14ac:dyDescent="0.25">
      <c r="D11" s="26" t="s">
        <v>1046</v>
      </c>
      <c r="E11" s="27"/>
      <c r="F11" s="27"/>
      <c r="G11" s="27"/>
      <c r="H11" s="27"/>
      <c r="I11" s="27"/>
      <c r="J11" s="27"/>
    </row>
    <row r="31" spans="4:9" x14ac:dyDescent="0.25">
      <c r="D31" s="27" t="s">
        <v>1047</v>
      </c>
      <c r="E31" s="27"/>
      <c r="F31" s="27"/>
      <c r="G31" s="27"/>
      <c r="H31" s="27"/>
      <c r="I31" s="27"/>
    </row>
  </sheetData>
  <mergeCells count="3">
    <mergeCell ref="D3:H4"/>
    <mergeCell ref="D11:J11"/>
    <mergeCell ref="D31:I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8"/>
  <sheetViews>
    <sheetView workbookViewId="0">
      <selection activeCell="I12" sqref="I12"/>
    </sheetView>
  </sheetViews>
  <sheetFormatPr defaultRowHeight="15" x14ac:dyDescent="0.25"/>
  <cols>
    <col min="7" max="7" width="10.85546875" customWidth="1"/>
  </cols>
  <sheetData>
    <row r="2" spans="3:17" x14ac:dyDescent="0.25">
      <c r="C2" s="2"/>
      <c r="D2" s="23" t="s">
        <v>1058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3:17" x14ac:dyDescent="0.25">
      <c r="C3" s="2"/>
      <c r="D3" s="11" t="s">
        <v>1054</v>
      </c>
      <c r="E3" s="28" t="s">
        <v>1062</v>
      </c>
      <c r="F3" s="28"/>
      <c r="G3" s="28"/>
      <c r="H3" s="28" t="s">
        <v>1055</v>
      </c>
      <c r="I3" s="28"/>
      <c r="J3" s="28"/>
      <c r="K3" s="28"/>
      <c r="L3" s="28"/>
      <c r="M3" s="28"/>
      <c r="N3" s="28"/>
      <c r="O3" s="28"/>
      <c r="P3" s="28"/>
      <c r="Q3" s="28"/>
    </row>
    <row r="4" spans="3:17" x14ac:dyDescent="0.25">
      <c r="D4" s="9">
        <v>1</v>
      </c>
      <c r="E4" s="10" t="s">
        <v>1056</v>
      </c>
      <c r="F4" s="10"/>
      <c r="G4" s="10"/>
      <c r="H4" s="29" t="s">
        <v>1063</v>
      </c>
      <c r="I4" s="29"/>
      <c r="J4" s="29"/>
      <c r="K4" s="29"/>
      <c r="L4" s="29"/>
      <c r="M4" s="29"/>
      <c r="N4" s="29"/>
      <c r="O4" s="29"/>
      <c r="P4" s="29"/>
      <c r="Q4" s="29"/>
    </row>
    <row r="5" spans="3:17" x14ac:dyDescent="0.25">
      <c r="D5" s="9">
        <v>2</v>
      </c>
      <c r="E5" s="10" t="s">
        <v>1057</v>
      </c>
      <c r="F5" s="10"/>
      <c r="G5" s="10"/>
      <c r="H5" s="29" t="s">
        <v>1064</v>
      </c>
      <c r="I5" s="29"/>
      <c r="J5" s="29"/>
      <c r="K5" s="29"/>
      <c r="L5" s="29"/>
      <c r="M5" s="29"/>
      <c r="N5" s="29"/>
      <c r="O5" s="29"/>
      <c r="P5" s="29"/>
      <c r="Q5" s="29"/>
    </row>
    <row r="6" spans="3:17" x14ac:dyDescent="0.25">
      <c r="D6" s="9">
        <v>3</v>
      </c>
      <c r="E6" s="29" t="s">
        <v>1059</v>
      </c>
      <c r="F6" s="29"/>
      <c r="G6" s="29"/>
      <c r="H6" s="29" t="s">
        <v>1065</v>
      </c>
      <c r="I6" s="29"/>
      <c r="J6" s="29"/>
      <c r="K6" s="29"/>
      <c r="L6" s="29"/>
      <c r="M6" s="29"/>
      <c r="N6" s="29"/>
      <c r="O6" s="29"/>
      <c r="P6" s="29"/>
      <c r="Q6" s="29"/>
    </row>
    <row r="7" spans="3:17" x14ac:dyDescent="0.25">
      <c r="D7" s="9">
        <v>4</v>
      </c>
      <c r="E7" s="10" t="s">
        <v>1060</v>
      </c>
      <c r="F7" s="10"/>
      <c r="G7" s="10"/>
      <c r="H7" s="29" t="s">
        <v>1066</v>
      </c>
      <c r="I7" s="29"/>
      <c r="J7" s="29"/>
      <c r="K7" s="29"/>
      <c r="L7" s="29"/>
      <c r="M7" s="29"/>
      <c r="N7" s="29"/>
      <c r="O7" s="29"/>
      <c r="P7" s="29"/>
      <c r="Q7" s="29"/>
    </row>
    <row r="8" spans="3:17" x14ac:dyDescent="0.25">
      <c r="D8" s="9">
        <v>5</v>
      </c>
      <c r="E8" s="10" t="s">
        <v>1061</v>
      </c>
      <c r="F8" s="10"/>
      <c r="G8" s="10"/>
      <c r="H8" s="29" t="s">
        <v>1067</v>
      </c>
      <c r="I8" s="29"/>
      <c r="J8" s="29"/>
      <c r="K8" s="29"/>
      <c r="L8" s="29"/>
      <c r="M8" s="29"/>
      <c r="N8" s="29"/>
      <c r="O8" s="29"/>
      <c r="P8" s="29"/>
      <c r="Q8" s="29"/>
    </row>
  </sheetData>
  <mergeCells count="9">
    <mergeCell ref="E3:G3"/>
    <mergeCell ref="H3:Q3"/>
    <mergeCell ref="D2:Q2"/>
    <mergeCell ref="E6:G6"/>
    <mergeCell ref="H8:Q8"/>
    <mergeCell ref="H7:Q7"/>
    <mergeCell ref="H6:Q6"/>
    <mergeCell ref="H5:Q5"/>
    <mergeCell ref="H4:Q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9"/>
  <sheetViews>
    <sheetView workbookViewId="0">
      <selection activeCell="E17" sqref="E17"/>
    </sheetView>
  </sheetViews>
  <sheetFormatPr defaultRowHeight="15" x14ac:dyDescent="0.25"/>
  <cols>
    <col min="4" max="4" width="17.28515625" bestFit="1" customWidth="1"/>
    <col min="5" max="5" width="103.7109375" bestFit="1" customWidth="1"/>
  </cols>
  <sheetData>
    <row r="4" spans="4:9" x14ac:dyDescent="0.25">
      <c r="D4" s="30" t="s">
        <v>1082</v>
      </c>
      <c r="E4" s="30"/>
      <c r="F4" s="2"/>
      <c r="G4" s="2"/>
      <c r="H4" s="2"/>
      <c r="I4" s="2"/>
    </row>
    <row r="5" spans="4:9" x14ac:dyDescent="0.25">
      <c r="D5" s="18" t="s">
        <v>1083</v>
      </c>
      <c r="E5" s="4" t="s">
        <v>1089</v>
      </c>
    </row>
    <row r="6" spans="4:9" x14ac:dyDescent="0.25">
      <c r="D6" s="18" t="s">
        <v>1084</v>
      </c>
      <c r="E6" s="4" t="s">
        <v>1088</v>
      </c>
    </row>
    <row r="7" spans="4:9" x14ac:dyDescent="0.25">
      <c r="D7" s="18" t="s">
        <v>1092</v>
      </c>
      <c r="E7" s="4" t="s">
        <v>1087</v>
      </c>
    </row>
    <row r="8" spans="4:9" x14ac:dyDescent="0.25">
      <c r="D8" s="18" t="s">
        <v>1086</v>
      </c>
      <c r="E8" s="4" t="s">
        <v>1091</v>
      </c>
    </row>
    <row r="9" spans="4:9" x14ac:dyDescent="0.25">
      <c r="D9" s="18" t="s">
        <v>1085</v>
      </c>
      <c r="E9" s="4" t="s">
        <v>1090</v>
      </c>
    </row>
  </sheetData>
  <mergeCells count="1"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 01_Understand_Dataset</vt:lpstr>
      <vt:lpstr>Part 03_Data Quality Check</vt:lpstr>
      <vt:lpstr>Part 02_Cleaned Data</vt:lpstr>
      <vt:lpstr>KPIs</vt:lpstr>
      <vt:lpstr>Pivot Tables</vt:lpstr>
      <vt:lpstr>Part 04_Basic Analysis</vt:lpstr>
      <vt:lpstr>Charts</vt:lpstr>
      <vt:lpstr>Part 05_Sorting and filter ss </vt:lpstr>
      <vt:lpstr>Observations</vt:lpstr>
      <vt:lpstr>Excel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Raza</dc:creator>
  <cp:lastModifiedBy>Admin</cp:lastModifiedBy>
  <dcterms:created xsi:type="dcterms:W3CDTF">2026-06-30T07:34:11Z</dcterms:created>
  <dcterms:modified xsi:type="dcterms:W3CDTF">2026-07-04T14:31:33Z</dcterms:modified>
</cp:coreProperties>
</file>